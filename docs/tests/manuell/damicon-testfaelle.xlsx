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leitung" state="visible" r:id="rId4"/>
    <sheet sheetId="2" name="Auswertung" state="visible" r:id="rId5"/>
    <sheet sheetId="3" name="Admin" state="visible" r:id="rId6"/>
    <sheet sheetId="4" name="Betriebsleitung" state="visible" r:id="rId7"/>
    <sheet sheetId="5" name="Buchhaltung" state="visible" r:id="rId8"/>
    <sheet sheetId="6" name="Brigade" state="visible" r:id="rId9"/>
    <sheet sheetId="7" name="Pfluecker" state="visible" r:id="rId10"/>
    <sheet sheetId="8" name="Erzeuger" state="visible" r:id="rId11"/>
    <sheet sheetId="9" name="Kunde" state="visible" r:id="rId12"/>
    <sheet sheetId="10" name="Funde" state="visible" r:id="rId13"/>
  </sheets>
  <calcPr calcId="171027" fullCalcOnLoad="1"/>
</workbook>
</file>

<file path=xl/sharedStrings.xml><?xml version="1.0" encoding="utf-8"?>
<sst xmlns="http://schemas.openxmlformats.org/spreadsheetml/2006/main" count="598" uniqueCount="325">
  <si>
    <t>Damicon: Manueller Rollentest</t>
  </si>
  <si>
    <t/>
  </si>
  <si>
    <t>Stand</t>
  </si>
  <si>
    <t>20.09.2026</t>
  </si>
  <si>
    <t>Umfang</t>
  </si>
  <si>
    <t>43 Testfaelle ueber 7 Rollen, davon 11 Negativtests</t>
  </si>
  <si>
    <t>Dauer</t>
  </si>
  <si>
    <t>3 bis 4 Stunden ohne Fehlerverfolgung</t>
  </si>
  <si>
    <t>Umgebung</t>
  </si>
  <si>
    <t>https://damicon.vercel.app/de/dashboard</t>
  </si>
  <si>
    <t>1. VORBEREITUNG</t>
  </si>
  <si>
    <t>Die Instanz verlangt eine ANMELDUNG. Es gibt keine freie Demo-Ansicht.</t>
  </si>
  <si>
    <t>Im Projekt sind sieben Demo-Konten vorgesehen (supabase/seed-auth.mjs), Passwort steht im selben Skript.</t>
  </si>
  <si>
    <t>OB DIESE KONTEN AUF DER VERCEL-INSTANZ EXISTIEREN, IST NICHT GEPRUEFT. Vor Testbeginn klaeren.</t>
  </si>
  <si>
    <t>Fehlen sie: entweder Admin legt sie an, oder lokal im Demo-Modus testen (npm run dev ohne Supabase).</t>
  </si>
  <si>
    <t>ACHTUNG: weder der Demo-Modus noch "Ansicht als" beantworten die Negativtests. Beide aendern nur die Anzeige,</t>
  </si>
  <si>
    <t>nicht die Rechtepruefung der Datenbank. Dafuer muss man sich echt mit dem jeweiligen Konto anmelden.</t>
  </si>
  <si>
    <t>Browser: je Rolle ein eigenes privates Fenster, sonst ueberlagern sich die Anmeldungen.</t>
  </si>
  <si>
    <t>Mobil: Brigade und Pfluecker mindestens je einen Testfall am Handy oder bei 390 px Fensterbreite.</t>
  </si>
  <si>
    <t>2. REIHENFOLGE (vier Faelle bauen aufeinander auf)</t>
  </si>
  <si>
    <t>Admin TF-A2 (Kunden einladen) liefert den Code fuer Kunde TF-K1</t>
  </si>
  <si>
    <t>Betriebsleitung TF-L1 (Aufgabe anlegen) liefert die Aufgabe fuer Brigade TF-B1 bis TF-B3</t>
  </si>
  <si>
    <t>Betriebsleitung TF-L4 (Beleg pruefen) macht sie abrechenbar fuer Buchhaltung TF-F2</t>
  </si>
  <si>
    <t>Kunde TF-K5 (Reklamation) liefert den Vorgang fuer Buchhaltung TF-F6</t>
  </si>
  <si>
    <t>Alle uebrigen Testfaelle sind unabhaengig.</t>
  </si>
  <si>
    <t>3. AUSFUELLEN</t>
  </si>
  <si>
    <t>Spalte Ergebnis: Auswahlliste mit OK / NOK / blockiert / offen. Faerbt sich automatisch.</t>
  </si>
  <si>
    <t>Spalte Beobachtung: nur bei NOK oder blockiert. Was stand am Bildschirm, nicht die Deutung.</t>
  </si>
  <si>
    <t>Spalte Datum/Tester: Kuerzel genuegt.</t>
  </si>
  <si>
    <t>Bei NOK zusaetzlich: Bildschirmfoto als TF-&lt;Nr&gt;.png, Uhrzeit notieren, zweiten Versuch machen.</t>
  </si>
  <si>
    <t>Explorativ: die Schritte sind die Pflicht, nicht die Grenze. Auffaelliges ins Blatt "Funde".</t>
  </si>
  <si>
    <t>4. FEHLERKLASSEN</t>
  </si>
  <si>
    <t>S1</t>
  </si>
  <si>
    <t>Datenverlust, falsche Zahl auf einem Beleg, jemand sieht Fremddaten</t>
  </si>
  <si>
    <t>S2</t>
  </si>
  <si>
    <t>Kernfunktion nicht nutzbar, kein Umweg</t>
  </si>
  <si>
    <t>S3</t>
  </si>
  <si>
    <t>Funktion nutzbar, aber fehlerhaft oder umstaendlich</t>
  </si>
  <si>
    <t>S4</t>
  </si>
  <si>
    <t>Schoenheitsfehler: Tippfehler, Abstand, Farbe</t>
  </si>
  <si>
    <t>Falsche Zahlen in Lohn, Rechnung oder Steuer sind IMMER mindestens S2.</t>
  </si>
  <si>
    <t>5. WAS KEIN FEHLER IST (nicht melden)</t>
  </si>
  <si>
    <t>Lieferschein-ESF und Integrationen sind Platzhalter, es liest und schreibt sie noch nichts.</t>
  </si>
  <si>
    <t>Wetter zeigt die Temperatursumme, trifft bewusst keine Vorhersage.</t>
  </si>
  <si>
    <t>Vorbestellungen bestaetigt das Buero von Hand, es gibt keine Automatik.</t>
  </si>
  <si>
    <t>QR-Steigen kann nur anzeigen und drucken, Steigen entstehen ueber die Pflueckaufgabe.</t>
  </si>
  <si>
    <t>Kanaele sind reine Anzeige, keine echte Anbindung an WhatsApp oder Kaspi.</t>
  </si>
  <si>
    <t>Hinweis "Beispieldaten" = keine Datenbank hinterlegt, Meldung der Umgebung.</t>
  </si>
  <si>
    <t>ABER: Hinweis "Fehler" statt "Beispieldaten" IST zu melden, dann ist eine Abfrage fehlgeschlagen.</t>
  </si>
  <si>
    <t>6. TESTDATEN-HYGIENE</t>
  </si>
  <si>
    <t>Alles selbst Angelegte mit "TEST" im Namen versehen.</t>
  </si>
  <si>
    <t>Nichts loeschen, was vorher schon da war, auch wenn es falsch aussieht.</t>
  </si>
  <si>
    <t>Freigegebene Lohnabrechnungen und Einladungen bleiben stehen, sie sind nachweispflichtig.</t>
  </si>
  <si>
    <t>Auswertung (rechnet sich aus den Rollenblaettern)</t>
  </si>
  <si>
    <t>Rolle</t>
  </si>
  <si>
    <t>Testfaelle</t>
  </si>
  <si>
    <t>OK</t>
  </si>
  <si>
    <t>NOK</t>
  </si>
  <si>
    <t>blockiert</t>
  </si>
  <si>
    <t>offen</t>
  </si>
  <si>
    <t>Admin</t>
  </si>
  <si>
    <t>Betriebsleitung</t>
  </si>
  <si>
    <t>Buchhaltung</t>
  </si>
  <si>
    <t>Brigade</t>
  </si>
  <si>
    <t>Pfluecker</t>
  </si>
  <si>
    <t>Erzeuger (Nachbarbetrieb)</t>
  </si>
  <si>
    <t>B2B-Kunde</t>
  </si>
  <si>
    <t>Summe</t>
  </si>
  <si>
    <t>Die Zahlen fuellen sich von selbst, sobald in den Rollenblaettern die Spalte</t>
  </si>
  <si>
    <t>"Ergebnis" gesetzt wird. Nichts hier von Hand eintragen.</t>
  </si>
  <si>
    <t>Damicon Testfaelle - Rolle: Admin</t>
  </si>
  <si>
    <t>Anmeldung als: admin@damicon.demo</t>
  </si>
  <si>
    <t>Einzige Rolle mit Vollzugriff. Geprueft wird vor allem, ob die Rechteverwaltung selbst stimmt, denn jeder Fehler hier wirkt auf alle anderen Rollen.</t>
  </si>
  <si>
    <t>Nr</t>
  </si>
  <si>
    <t>Was geprueft wird</t>
  </si>
  <si>
    <t>Schritte</t>
  </si>
  <si>
    <t>Testdaten (Eingabe)</t>
  </si>
  <si>
    <t>Erwartetes Ergebnis</t>
  </si>
  <si>
    <t>Ergebnis</t>
  </si>
  <si>
    <t>Beobachtung</t>
  </si>
  <si>
    <t>Datum / Tester</t>
  </si>
  <si>
    <t>TF-A1</t>
  </si>
  <si>
    <t>Rechtematrix ist vollstaendig und stimmt</t>
  </si>
  <si>
    <t xml:space="preserve">1. Buero &gt; Rollen oeffnen
2. Rechtematrix aufklappen
3. Zeile "Lohn" suchen
4. Spalten Pfluecker und Brigade vergleichen</t>
  </si>
  <si>
    <t>keine Eingabe</t>
  </si>
  <si>
    <t>Alle 7 Rollen sind gelistet. Pfluecker hat bei Lohn nur "ansehen", Brigade hat bei Lohn gar kein Recht. Die Matrix zeigt die tatsaechliche Konfiguration, keine feste Grafik.</t>
  </si>
  <si>
    <t>TF-A2</t>
  </si>
  <si>
    <t>Kundenzugang ausstellen</t>
  </si>
  <si>
    <t xml:space="preserve">1. Buero &gt; Rollen &gt; Kundenzugaenge
2. "Einladung ausstellen"
3. Felder fuellen
4. Absenden
5. Angezeigten Code notieren</t>
  </si>
  <si>
    <t xml:space="preserve">B2B-Kunde: Almaty Fresh Market
Name: TEST Aigul Sarsenowa
E-Mail: test.kunde.20092026@example.com</t>
  </si>
  <si>
    <t xml:space="preserve">Einladung wird angelegt, ein Code erscheint. Hinweis "gilt 14 Tage und nur fuer diese Adresse".
CODE HIER NOTIEREN, wird in TF-K1 gebraucht.</t>
  </si>
  <si>
    <t>TF-A3</t>
  </si>
  <si>
    <t>"Ansicht als" wirkt auf die Anzeige</t>
  </si>
  <si>
    <t xml:space="preserve">1. Oben rechts Rollenumschalter
2. Auf "Pfluecker" umstellen
3. Navigation ansehen
4. Zurueck auf Admin</t>
  </si>
  <si>
    <t>Rolle: Pfluecker</t>
  </si>
  <si>
    <t>Die Navigation schrumpft sichtbar auf Dashboard, Lohn und Schulungen. Feld, Hof und Markt verschwinden. Nach dem Zuruecksetzen ist wieder alles da.</t>
  </si>
  <si>
    <t>TF-A4</t>
  </si>
  <si>
    <t>KI-Anbieter verwalten (nur Admin)</t>
  </si>
  <si>
    <t xml:space="preserve">1. KI-Bereich oeffnen
2. Anbieterliste aufrufen
3. Pruefen, ob Anbieter anlegbar/aenderbar sind</t>
  </si>
  <si>
    <t>nichts speichern, nur pruefen ob erreichbar</t>
  </si>
  <si>
    <t>Die Anbieterverwaltung ist erreichbar und bedienbar. Kein Schluessel wird im Klartext angezeigt.</t>
  </si>
  <si>
    <t>TF-A5</t>
  </si>
  <si>
    <t>Steuernummer mit falscher Pruefziffer wird abgelehnt (NEGATIVTEST)</t>
  </si>
  <si>
    <t xml:space="preserve">1. Buero &gt; Stammdaten
2. Betrieb bearbeiten, Rechtsform KH/FH (Feld heisst dann IIN)
3. Wert 1 eintragen, speichern
4. Wert 2 eintragen, speichern
5. Wert 3 eintragen, speichern</t>
  </si>
  <si>
    <t xml:space="preserve">1. zu kurz: 78062130045
2. Pruefziffer falsch: 780621300451
3. gueltig: 780621300453</t>
  </si>
  <si>
    <t xml:space="preserve">Wert 1 abgelehnt mit Hinweis auf die Stellenzahl. Wert 2 abgelehnt mit Hinweis auf die PRUEFZIFFER, das ist eine andere Meldung als bei Wert 1. Wert 3 wird gespeichert.
Wird Wert 1 oder 2 angenommen: S1.</t>
  </si>
  <si>
    <t>TF-A6</t>
  </si>
  <si>
    <t>Auditprotokoll und MFA-Status</t>
  </si>
  <si>
    <t xml:space="preserve">1. Buero &gt; Compliance
2. Auditprotokoll oeffnen
3. Nach dem Eintrag aus TF-A2 suchen
4. MFA-Status ansehen</t>
  </si>
  <si>
    <t>Suchzeitraum: heute</t>
  </si>
  <si>
    <t>Die in TF-A2 ausgestellte Einladung taucht als Eintrag auf, mit Zeit und handelndem Benutzer. Der MFA-Status je Konto ist erkennbar.</t>
  </si>
  <si>
    <t>TF-A7</t>
  </si>
  <si>
    <t>Admin sieht alle vier Zonen</t>
  </si>
  <si>
    <t xml:space="preserve">1. Navigation durchgehen
2. Je ein Modul aus Feld, Hof, Buero, Markt oeffnen</t>
  </si>
  <si>
    <t xml:space="preserve">Feld: Reihenbloecke
Hof: Kuehlkette
Buero: Finanzen
Markt: Preislisten</t>
  </si>
  <si>
    <t>Alle vier Module oeffnen ohne Zugriffsmeldung und zeigen Inhalte.</t>
  </si>
  <si>
    <t>Zwischenstand:</t>
  </si>
  <si>
    <t>OK von 7</t>
  </si>
  <si>
    <t>NOK von 7</t>
  </si>
  <si>
    <t>blockiert von 7</t>
  </si>
  <si>
    <t>Freie Funde (alles Auffaellige ausserhalb der Testfaelle):</t>
  </si>
  <si>
    <t>Gesamteindruck in zwei Saetzen: Koennte diese Person damit arbeiten?</t>
  </si>
  <si>
    <t>Damicon Testfaelle - Rolle: Betriebsleitung</t>
  </si>
  <si>
    <t>Anmeldung als: leitung@damicon.demo</t>
  </si>
  <si>
    <t>Wichtigster Test ist die Wartezeitsperre: nach einer Pflanzenschutzbehandlung darf auf dem Block gesetzlich nicht geerntet werden, und das System muss das von sich aus verhindern. TF-L2 sperrt, TF-L3 prueft die Wirkung, beide gehoeren zusammen.</t>
  </si>
  <si>
    <t>TF-L1</t>
  </si>
  <si>
    <t>Pflueckaufgabe anlegen und zuweisen</t>
  </si>
  <si>
    <t xml:space="preserve">1. Feld &gt; Pflueckaufgaben
2. "Neue Pflueckaufgabe"
3. Felder fuellen
4. "Aufgabe anlegen"</t>
  </si>
  <si>
    <t xml:space="preserve">Reihenblock: T-N-A-01
Brigade: Brigade Nord
Zielmenge in kg: 120</t>
  </si>
  <si>
    <t>Aufgabe erscheint mit Status "offen" und Brigade Nord. Wird in TF-B1 gebraucht.</t>
  </si>
  <si>
    <t>TF-L2</t>
  </si>
  <si>
    <t>Behandlung erfassen sperrt den Block automatisch</t>
  </si>
  <si>
    <t xml:space="preserve">1. Feld &gt; Pflanzenschutz
2. "Behandlung erfassen"
3. Felder fuellen, speichern
4. Feld &gt; Reihenbloecke oeffnen, Block T-N-A-03 suchen</t>
  </si>
  <si>
    <t xml:space="preserve">Reihenblock: T-N-A-03
Mittel: Signum
Behandelt am: heute
Aufwandmenge: 1,5
Einheit: kg/ha
Durchgefuehrt von: TEST Betriebsleitung</t>
  </si>
  <si>
    <t>Block T-N-A-03 steht danach auf Status "wartezeitgesperrt" und zeigt ein "Frei ab"-Datum in der Zukunft. Niemand musste den Status von Hand setzen.</t>
  </si>
  <si>
    <t>TF-L3</t>
  </si>
  <si>
    <t>Gesperrter Block laesst sich nicht bepfluecken (NEGATIVTEST)</t>
  </si>
  <si>
    <t xml:space="preserve">1. Feld &gt; Pflueckaufgaben
2. "Neue Pflueckaufgabe"
3. Auswahlliste Reihenblock oeffnen
4. Nach T-N-A-03 suchen</t>
  </si>
  <si>
    <t>Reihenblock T-N-A-03 versuchen</t>
  </si>
  <si>
    <t xml:space="preserve">Der gesperrte Block erscheint GAR NICHT in der Auswahl.
Laesst sich eine Aufgabe darauf anlegen: S1 (Ernte trotz gesetzlicher Wartezeit).</t>
  </si>
  <si>
    <t>TF-L4</t>
  </si>
  <si>
    <t>Fotobeleg pruefen und Aufgabe abschliessen</t>
  </si>
  <si>
    <t xml:space="preserve">1. Feld &gt; Pflueckaufgaben
2. Aufgabe im Status "Belegpruefung" oeffnen (entsteht in TF-B3)
3. Fotobeleg ansehen
4. Aufgabe abschliessen</t>
  </si>
  <si>
    <t>keine Eingabe, nur Freigabe</t>
  </si>
  <si>
    <t>Status wechselt auf "abgeschlossen". Erst jetzt ist die Aufgabe fuer die Lohnabrechnung (TF-F2) verwertbar. Ohne Foto darf kein Abschluss moeglich sein.</t>
  </si>
  <si>
    <t>TF-L5</t>
  </si>
  <si>
    <t>Rotationsplan zeigt den naechsten Pfluecktermin</t>
  </si>
  <si>
    <t xml:space="preserve">1. Feld &gt; Rotationsplan
2. Plantage waehlen
3. Eintrag zu T-N-A-03 suchen</t>
  </si>
  <si>
    <t>Plantage: Plantage Talgar</t>
  </si>
  <si>
    <t>Der Plan zeigt je Reihenblock den naechsten Termin im Rhythmus von 2 bis 3 Tagen. Der in TF-L2 gesperrte Block ist als gesperrt gekennzeichnet oder ausgenommen, nicht normal eingeplant.</t>
  </si>
  <si>
    <t>TF-L6</t>
  </si>
  <si>
    <t>Lohn ist nur lesbar, nicht aenderbar (NEGATIVTEST)</t>
  </si>
  <si>
    <t xml:space="preserve">1. Buero &gt; Lohn oeffnen
2. Nach "Freigeben", "Satz anlegen" oder "Periode berechnen" suchen</t>
  </si>
  <si>
    <t xml:space="preserve">Abrechnungen sind sichtbar, aber es gibt keine Schaltflaeche zum Anlegen, Berechnen oder Freigeben. Lohn gehoert der Buchhaltung.
Erscheint eine solche Schaltflaeche und funktioniert sie: S1.</t>
  </si>
  <si>
    <t>OK von 6</t>
  </si>
  <si>
    <t>NOK von 6</t>
  </si>
  <si>
    <t>blockiert von 6</t>
  </si>
  <si>
    <t>Damicon Testfaelle - Rolle: Buchhaltung</t>
  </si>
  <si>
    <t>Anmeldung als: buchhaltung@damicon.demo</t>
  </si>
  <si>
    <t>Hier entstehen Zahlen, die auf Belegen landen. Jede Abweichung in einem Betrag ist mindestens S2, auch wenn sie klein wirkt. TF-F2 braucht eine abgeschlossene Pflueckaufgabe aus TF-L4.</t>
  </si>
  <si>
    <t>TF-F1</t>
  </si>
  <si>
    <t>Lohnsatz anlegen</t>
  </si>
  <si>
    <t xml:space="preserve">1. Buero &gt; Lohn
2. "Neuen Lohnsatz anlegen"
3. Felder fuellen
4. "Satz anlegen"
5. Gegenprobe: denselben Satz noch einmal anlegen</t>
  </si>
  <si>
    <t xml:space="preserve">Gueltig ab: 01.10.2026
Stundenlohn: 900 Tenge
kg-Satz: 850 Tenge
Ziel-Ausschussquote: 5 %
Faktor min: 0,90
Faktor max: 1,10</t>
  </si>
  <si>
    <t>Satz wird gespeichert und erscheint in der Historie. Ein zweiter Satz mit demselben "Gueltig ab" muss ABGELEHNT werden, das ist die Eindeutigkeitsregel.</t>
  </si>
  <si>
    <t>TF-F2</t>
  </si>
  <si>
    <t>Periode berechnen mit Qualitaetsfaktor</t>
  </si>
  <si>
    <t xml:space="preserve">1. Buero &gt; Lohn
2. "Periode berechnen"
3. Zeitraum waehlen
4. Berechnen
5. "Positionen je Pflueckaufgabe" oeffnen</t>
  </si>
  <si>
    <t xml:space="preserve">Zeitraum: laufender Monat
Brigade: Brigade Nord</t>
  </si>
  <si>
    <t xml:space="preserve">Je Pfluecker entsteht eine Abrechnung. Der Qualitaetsfaktor ist sichtbar und liegt zwischen 0,90 und 1,10. Bei genau 5 % Ausschuss muss er 1,00 sein.
Fehlt der Faktor oder liegt er ausserhalb: S2.</t>
  </si>
  <si>
    <t>TF-F3</t>
  </si>
  <si>
    <t>Gesetzliche Abzuege Kasachstan rechnen korrekt</t>
  </si>
  <si>
    <t xml:space="preserve">1. Buero &gt; Lohn &gt; "Monatsabzuege berechnen"
2. Fall A eingeben, berechnen, vergleichen
3. Mit Fall B wiederholen
4. Mit Fall C wiederholen</t>
  </si>
  <si>
    <t xml:space="preserve">Fall A Brutto: 250000
Fall B Brutto: 150000
Fall C Brutto: 100000</t>
  </si>
  <si>
    <t xml:space="preserve">A: OPV 25.000,00 | VOSMS 5.000,00 | IPN-Grundlage 90.250,00 | IPN 9.025,00 | NETTO 210.975,00 | OPVR 8.750,00
B: OPV 15.000,00 | VOSMS 3.000,00 | Grundlage 2.250,00 | IPN 225,00 | NETTO 131.775,00
C: OPV 10.000,00 | VOSMS 2.000,00 | Grundlage 0,00 | IPN 0,00 | NETTO 88.000,00
Fall C ist der wichtige: der Freibetrag von 129.750 Tenge darf nicht ins Minus laufen.</t>
  </si>
  <si>
    <t>TF-F4</t>
  </si>
  <si>
    <t>Freigabe und Ruecknahme der Freigabe</t>
  </si>
  <si>
    <t xml:space="preserve">1. Eine berechnete Abrechnung oeffnen
2. "Freigeben"
3. Ruecknahme der Freigabe versuchen
4. "Als ausgezahlt markieren"</t>
  </si>
  <si>
    <t xml:space="preserve">Nach der Freigabe wechselt der Status sichtbar. Die Ruecknahme verlangt eine ZWEITE, eigene Bestaetigung, sie passiert nicht mit einem Klick.
Laesst sich eine Freigabe mit einem Klick rueckgaengig machen: S2.</t>
  </si>
  <si>
    <t>TF-F5</t>
  </si>
  <si>
    <t>Steuernummer eines Kunden pflegen</t>
  </si>
  <si>
    <t xml:space="preserve">1. Buero &gt; Stammdaten
2. Kunden Almaty Fresh Market waehlen
3. Rechtsform TOO setzen (Feld heisst dann BIN)
4. Nummer eintragen, speichern
5. Gegenprobe mit ungueltigem Wert</t>
  </si>
  <si>
    <t xml:space="preserve">Rechtsform: TOO
BIN gueltig: 190940001235
Gegenprobe ungueltig: 190940001231</t>
  </si>
  <si>
    <t>Der gueltige Wert wird gespeichert. Der Gegenprobenwert wird mit Hinweis auf die PRUEFZIFFER abgelehnt. Bei Rechtsform TOO muss das Feld BIN heissen, nicht IIN.</t>
  </si>
  <si>
    <t>TF-F6</t>
  </si>
  <si>
    <t>Reklamation bearbeiten und schliessen</t>
  </si>
  <si>
    <t xml:space="preserve">1. Markt &gt; Reklamationen
2. Vorgang aus TF-K5 oeffnen
3. "In Pruefung nehmen"
4. Nachricht hinzufuegen
5. "Annehmen", dann "Als erledigt abschliessen"</t>
  </si>
  <si>
    <t>Nachricht: TEST Gutschrift geprueft, Ware war bei Anlieferung zu warm</t>
  </si>
  <si>
    <t>Der Status durchlaeuft die Stufen sichtbar. Die Rueckverfolgung zeigt die urspruengliche Charge. Der Verlauf enthaelt die eigene Nachricht mit Zeitstempel.</t>
  </si>
  <si>
    <t>TF-F7</t>
  </si>
  <si>
    <t>Kein Eingriff in den Feldbetrieb (NEGATIVTEST)</t>
  </si>
  <si>
    <t xml:space="preserve">1. Navigation pruefen: erscheint Feld &gt; Pflueckaufgaben?
2. Adresse aufrufen: /de/dashboard/feld/pflanzenschutz
3. Falls Pflueckaufgaben lesbar: nach "Neue Pflueckaufgabe" suchen</t>
  </si>
  <si>
    <t>direkter Adressaufruf</t>
  </si>
  <si>
    <t xml:space="preserve">Pflueckaufgaben sind hoechstens LESBAR, nicht anlegbar. Pflanzenschutz endet mit einer Zugriffsmeldung. Die Buchhaltung rechnet ab, sie plant keine Ernte.
Laesst sich eine Aufgabe anlegen oder eine Behandlung erfassen: S2.</t>
  </si>
  <si>
    <t>Damicon Testfaelle - Rolle: Brigade</t>
  </si>
  <si>
    <t>Anmeldung als: brigade@damicon.demo</t>
  </si>
  <si>
    <t>Arbeitet im Feld, am Telefon, oft ohne gutes Netz. MINDESTENS TF-B1 bis TF-B3 auf einem Handy oder in einem Browserfenster von etwa 390 px Breite durchgehen. TF-B1 braucht die Aufgabe aus TF-L1.</t>
  </si>
  <si>
    <t>TF-B1</t>
  </si>
  <si>
    <t>Aufgabe annehmen und starten</t>
  </si>
  <si>
    <t xml:space="preserve">1. Feld &gt; Pflueckaufgaben
2. Aufgabe zu T-N-A-01 im Status "offen" oeffnen
3. "Aufgabe annehmen"
4. "Pfluecken starten"</t>
  </si>
  <si>
    <t>Status wechselt offen &gt; angenommen &gt; in Arbeit. Jeder Schritt ist sofort sichtbar, ohne die Seite neu zu laden.</t>
  </si>
  <si>
    <t>TF-B2</t>
  </si>
  <si>
    <t>Menge melden</t>
  </si>
  <si>
    <t xml:space="preserve">1. Dieselbe Aufgabe oeffnen
2. Ist-Menge und Ausschuss eintragen
3. "Menge melden und zur Belegpruefung geben"</t>
  </si>
  <si>
    <t xml:space="preserve">Ist-Menge in kg: 118,5
Ausschuss in kg: 6
Pfluecker: D. Sarsenbaj</t>
  </si>
  <si>
    <t>Status wechselt auf "Belegpruefung". Die Mengen stehen wie eingegeben da, das Komma wurde nicht verschluckt (118,5 darf nicht zu 1185 werden).</t>
  </si>
  <si>
    <t>TF-B3</t>
  </si>
  <si>
    <t>Fotobeleg hochladen (Pflicht)</t>
  </si>
  <si>
    <t xml:space="preserve">1. Aufgabe oeffnen
2. Belegart waehlen
3. Bild waehlen, Hinweis eintragen
4. "Fotobeleg hochladen"</t>
  </si>
  <si>
    <t xml:space="preserve">Belegart: Steige
Foto: beliebiges Bild vom Geraet
Hinweis: TEST Verkaufsschale 125 g, geschlossene Fruchtdecke</t>
  </si>
  <si>
    <t>Das Bild erscheint als Beleg bei der Aufgabe, vorher stand dort ein Platzhalter. Ohne Beleg darf die Betriebsleitung in TF-L4 nicht abschliessen koennen.</t>
  </si>
  <si>
    <t>TF-B4</t>
  </si>
  <si>
    <t>Uebergabequittung erfassen</t>
  </si>
  <si>
    <t xml:space="preserve">1. Hof &gt; Logistik
2. Eine geplante Lieferung oeffnen
3. Als zugestellt markieren, quittieren</t>
  </si>
  <si>
    <t xml:space="preserve">Empfaenger: TEST Gastro-Distributor Almaty
Zeitpunkt: jetzt</t>
  </si>
  <si>
    <t>Die Lieferung gilt als zugestellt, die Quittung ist gespeichert und im Verlauf sichtbar.</t>
  </si>
  <si>
    <t>TF-B5</t>
  </si>
  <si>
    <t>Neue Lieferung planen ist nicht erlaubt (NEGATIVTEST)</t>
  </si>
  <si>
    <t xml:space="preserve">1. Hof &gt; Logistik
2. Nach "Neue Lieferung", "Tour anlegen" o. Ae. suchen</t>
  </si>
  <si>
    <t xml:space="preserve">Es gibt KEINE Schaltflaeche zum Anlegen einer neuen Lieferung. Die Brigade quittiert nur, geplant wird im Buero.
Laesst sich eine Lieferung anlegen: S3.</t>
  </si>
  <si>
    <t>TF-B6</t>
  </si>
  <si>
    <t>Kein Zugriff auf Finanzen und Lohn (NEGATIVTEST)</t>
  </si>
  <si>
    <t xml:space="preserve">1. Navigation pruefen: erscheint Buero &gt; Finanzen oder Lohn?
2. Adresse aufrufen: /de/dashboard/buero/finanzen</t>
  </si>
  <si>
    <t xml:space="preserve">Die Module tauchen in der Navigation NICHT auf. Der direkte Aufruf endet mit einer Zugriffsmeldung, nicht mit sichtbaren Zahlen.
Werden Finanzdaten angezeigt: S1.</t>
  </si>
  <si>
    <t>Damicon Testfaelle - Rolle: Pfluecker</t>
  </si>
  <si>
    <t>Anmeldung als: pfluecker@damicon.demo</t>
  </si>
  <si>
    <t>Schmalste Rolle: nur die EIGENE Leistung, der eigene Lohn, die eigene Einarbeitung. TF-P3 ist der wichtigste Test der ganzen Reihe, weil dort Lohndaten anderer Menschen im Spiel sind. Auf dem Handy pruefen, diese Rolle benutzt nie einen Schreibtischrechner.</t>
  </si>
  <si>
    <t>TF-P1</t>
  </si>
  <si>
    <t>Nur drei Bereiche sichtbar</t>
  </si>
  <si>
    <t xml:space="preserve">1. Anmelden
2. Navigation vollstaendig durchsehen</t>
  </si>
  <si>
    <t>Sichtbar sind ausschliesslich Dashboard, Lohn und Schulungen. Keine Zone Feld, Hof oder Markt. Jeder zusaetzliche Eintrag ist ein Fund.</t>
  </si>
  <si>
    <t>TF-P2</t>
  </si>
  <si>
    <t>Eigene Abrechnung einsehen</t>
  </si>
  <si>
    <t xml:space="preserve">1. Lohn oeffnen
2. Eigene Abrechnung oeffnen
3. Positionen je Pflueckaufgabe ansehen</t>
  </si>
  <si>
    <t>Die eigene Abrechnung ist sichtbar, mit Positionen, Qualitaetsfaktor und Nettobetrag. Die Zahlen sind nachvollziehbar dargestellt, nicht nur eine Endsumme.</t>
  </si>
  <si>
    <t>TF-P3</t>
  </si>
  <si>
    <t>Fremde Abrechnungen sind unsichtbar (NEGATIVTEST, wichtigster Fall)</t>
  </si>
  <si>
    <t xml:space="preserve">1. Lohn oeffnen
2. Liste zaehlen: wie viele Personen erscheinen?
3. Nach fremden Namen suchen
4. Falls Filter/Suche existiert, damit nach anderen Namen suchen</t>
  </si>
  <si>
    <t xml:space="preserve">Suchbegriff: Tulegenowa
zweiter Versuch: Qojschybaj</t>
  </si>
  <si>
    <t xml:space="preserve">Es erscheint AUSSCHLIESSLICH die eigene Person. Kein zweiter Name, auch nicht ueber Suche oder Filter.
Erscheint ein fremder Name mit Betrag: S1, sofort melden und NICHT weitertesten.</t>
  </si>
  <si>
    <t>TF-P4</t>
  </si>
  <si>
    <t>Kurzeinarbeitung abhaken</t>
  </si>
  <si>
    <t xml:space="preserve">1. Schulungen oeffnen
2. Kurzeinarbeitung oeffnen
3. Einen offenen Punkt abhaken
4. Seite neu laden</t>
  </si>
  <si>
    <t>Punkt: Hygiene und Handschuhe</t>
  </si>
  <si>
    <t>Der Haken bleibt nach dem Neuladen gesetzt, der Fortschritt steigt sichtbar. Zusatz: laesst sich die Einarbeitung auf Russisch oder Kasachisch umstellen?</t>
  </si>
  <si>
    <t>TF-P5</t>
  </si>
  <si>
    <t>Kein Zugriff auf Pflueckaufgaben und Personal (NEGATIVTEST)</t>
  </si>
  <si>
    <t xml:space="preserve">1. Adresse aufrufen: /de/dashboard/feld/pflueckaufgaben
2. Adresse aufrufen: /de/dashboard/buero/personal</t>
  </si>
  <si>
    <t>direkte Adressaufrufe</t>
  </si>
  <si>
    <t xml:space="preserve">Beide enden mit einer Zugriffsmeldung. Kein Blick auf Aufgaben anderer Brigaden, keine Personalliste.
Werden Inhalte angezeigt: S1.</t>
  </si>
  <si>
    <t>OK von 5</t>
  </si>
  <si>
    <t>NOK von 5</t>
  </si>
  <si>
    <t>blockiert von 5</t>
  </si>
  <si>
    <t>Damicon Testfaelle - Rolle: Erzeuger (Nachbarbetrieb)</t>
  </si>
  <si>
    <t>Anmeldung als: erzeuger@damicon.demo</t>
  </si>
  <si>
    <t>Ein Nachbarbetrieb, der seine Ware in den Aggregator verkauft. Er sieht die eigenen Lieferungen und die eigene Abrechnung, nicht den Betrieb der anderen.</t>
  </si>
  <si>
    <t>TF-E1</t>
  </si>
  <si>
    <t>Eigene Lieferungen im Dashboard</t>
  </si>
  <si>
    <t xml:space="preserve">1. Anmelden
2. Dashboard ansehen
3. Navigation durchsehen</t>
  </si>
  <si>
    <t>Sichtbar sind Dashboard, Reihenbloecke, Pflueckaufgaben, Finanzen, Dokumente, Aggregator, B2B-Portal und Schulungen. Kein Lohn, kein Personal, keine Rollen.</t>
  </si>
  <si>
    <t>TF-E2</t>
  </si>
  <si>
    <t>Nachbarbetrieb aufnehmen</t>
  </si>
  <si>
    <t xml:space="preserve">1. Markt &gt; Aggregator
2. "Nachbarbetrieb aufnehmen"
3. Felder fuellen, absenden</t>
  </si>
  <si>
    <t xml:space="preserve">Name: TEST Nachbarbetrieb Talgar
Ort: Talgar
Ansprechperson: R. Baitulin</t>
  </si>
  <si>
    <t>Der Betrieb erscheint in der Liste und steht danach beim Import in TF-E3 zur Auswahl.</t>
  </si>
  <si>
    <t>TF-E3</t>
  </si>
  <si>
    <t>Zukauf per CSV importieren</t>
  </si>
  <si>
    <t xml:space="preserve">1. Markt &gt; Aggregator
2. "Zukauf importieren"
3. CSV-Daten einfuegen
4. "Pruefen und importieren"</t>
  </si>
  <si>
    <t xml:space="preserve">Nachbarbetrieb Kaskelen;Tulameen;140,5;2026-09-20
Nachbarbetrieb Uzynagash;Polka;88,0;2026-09-20
Nachbarbetrieb Kaskelen;Polana;61,25;2026-09-20
(Trennzeichen und Spaltenfolge an die Vorlage der Seite anpassen)</t>
  </si>
  <si>
    <t>Es erscheint zuerst eine PRUEFUNG, erst danach wird importiert. Summe 289,75 kg auf drei Chargen.</t>
  </si>
  <si>
    <t>TF-E4</t>
  </si>
  <si>
    <t>Fehlerhafte CSV wird abgewiesen (NEGATIVTEST)</t>
  </si>
  <si>
    <t xml:space="preserve">1. Wie TF-E3, aber mit fehlerhafter Zeile
2. "Pruefen und importieren"
3. Danach Liste pruefen: wurde die erste Zeile importiert?</t>
  </si>
  <si>
    <t xml:space="preserve">Nachbarbetrieb Kaskelen;Tulameen;140,5;2026-09-20
Unbekannter Betrieb XYZ;Polka;abc;2026-09-20</t>
  </si>
  <si>
    <t xml:space="preserve">Der Import wird ABGELEHNT mit Hinweis auf die fehlerhafte Zeile (unbekannter Betrieb, Menge keine Zahl). Die erste, korrekte Zeile darf NICHT importiert worden sein, der Vorgang ist ganz oder gar nicht.
Wurde sie importiert: S2.</t>
  </si>
  <si>
    <t>TF-E5</t>
  </si>
  <si>
    <t>Kein Zugriff auf Lohn und Personal (NEGATIVTEST)</t>
  </si>
  <si>
    <t xml:space="preserve">1. Adresse aufrufen: /de/dashboard/buero/lohn
2. Adresse aufrufen: /de/dashboard/buero/personal</t>
  </si>
  <si>
    <t xml:space="preserve">Beide enden mit einer Zugriffsmeldung. Ein Nachbarbetrieb darf weder Loehne noch Personal des Hauptbetriebs sehen.
Werden Inhalte angezeigt: S1.</t>
  </si>
  <si>
    <t>Damicon Testfaelle - Rolle: B2B-Kunde</t>
  </si>
  <si>
    <t>Anmeldung als: entsteht in TF-K1, ersatzweise kunde@damicon.demo</t>
  </si>
  <si>
    <t>Einzige Rolle, die von aussen kommt und sich ueber eine Einladung selbst anlegt. TF-K1 braucht den Code aus TF-A2. Diese Rolle sieht ein Aussenstehender, Verstaendlichkeit zaehlt hier genauso wie Richtigkeit. TF-K7 laeuft ABGEMELDET.</t>
  </si>
  <si>
    <t>TF-K1</t>
  </si>
  <si>
    <t>Einladung einloesen und Konto anlegen</t>
  </si>
  <si>
    <t xml:space="preserve">1. /de/einladung oeffnen
2. Code aus TF-A2 VON HAND eintippen
3. Passwort vergeben, Konto anlegen, anmelden
4. Gegenprobe a: Code klein und ohne Bindestriche
5. Gegenprobe b: denselben Code ein zweites Mal einloesen</t>
  </si>
  <si>
    <t xml:space="preserve">Code: aus TF-A2
E-Mail: test.kunde.20092026@example.com
Passwort: TestKunde2026!</t>
  </si>
  <si>
    <t xml:space="preserve">Konto entsteht, Anmeldung gelingt. Gegenprobe a wird trotzdem angenommen (Schreibweise wird abgefangen). Gegenprobe b wird ABGELEHNT, der Code ist verbraucht.
Zusatz: der Code darf NICHT per ?code= in der Adresszeile vorbelegbar sein. Geht das: S2.</t>
  </si>
  <si>
    <t>TF-K2</t>
  </si>
  <si>
    <t>Sortenkatalog ansehen</t>
  </si>
  <si>
    <t xml:space="preserve">1. Markt &gt; Sortenkatalog
2. Sorte Tulameen oeffnen</t>
  </si>
  <si>
    <t>Sortenname, Typ, Erntefenster und Schalengroesse sind sichtbar und verstaendlich. Keine internen Kennungen wie Datenbank-IDs.</t>
  </si>
  <si>
    <t>TF-K3</t>
  </si>
  <si>
    <t>Vorbestellung aufgeben</t>
  </si>
  <si>
    <t xml:space="preserve">1. Markt &gt; B2B-Portal
2. "Vorbestellung aufgeben"
3. Felder fuellen, absenden</t>
  </si>
  <si>
    <t xml:space="preserve">Sorte: Tulameen
Menge: 45 kg
Wunschtermin: in 7 Tagen
Bemerkung: TEST Vorbestellung 20.09.</t>
  </si>
  <si>
    <t>Die Vorbestellung erscheint mit Status "angefragt", nicht automatisch bestaetigt. Das Buero bestaetigt von Hand, das ist so gewollt.</t>
  </si>
  <si>
    <t>TF-K4</t>
  </si>
  <si>
    <t>Eigene Lieferungen und Rechnungshistorie</t>
  </si>
  <si>
    <t xml:space="preserve">1. Markt &gt; B2B-Portal
2. "Meine Lieferungen"
3. "Rechnungshistorie (Proforma)"
4. "Preisliste"</t>
  </si>
  <si>
    <t xml:space="preserve">Sichtbar sind NUR die eigenen Lieferungen und Rechnungen, keine anderer Kunden. Die Preisliste zeigt die Preise der eigenen Kundengruppe.
Erscheint ein fremder Kundenname: S1.</t>
  </si>
  <si>
    <t>TF-K5</t>
  </si>
  <si>
    <t>Reklamation melden</t>
  </si>
  <si>
    <t xml:space="preserve">1. Markt &gt; Reklamationen
2. "Reklamation melden"
3. Felder fuellen, absenden</t>
  </si>
  <si>
    <t xml:space="preserve">Grund: Ware bei Anlieferung zu warm
Betreff: TEST Reklamation 20.09.
Beschreibung: Kerntemperatur bei Anlieferung 11 Grad statt maximal 4 Grad.
Betroffene Menge: 12 kg
Charge: eine aus "Meine Lieferungen"</t>
  </si>
  <si>
    <t>Der Vorgang wird angelegt und erscheint im eigenen Verlauf. Eine Frist wird gesetzt (automatisch 5 Tage, falls nichts eingetragen). Wird in TF-F6 weiterbearbeitet.</t>
  </si>
  <si>
    <t>TF-K6</t>
  </si>
  <si>
    <t>Reklamation nicht selbst schliessen (NEGATIVTEST)</t>
  </si>
  <si>
    <t xml:space="preserve">1. Eigene Reklamation aus TF-K5 oeffnen
2. Nach "Annehmen", "Ablehnen" oder "Als erledigt abschliessen" suchen</t>
  </si>
  <si>
    <t xml:space="preserve">Diese Schaltflaechen fehlen. Der Kunde meldet und verfolgt, entschieden wird im Buero.
Kann der Kunde die eigene Reklamation selbst schliessen: S2.</t>
  </si>
  <si>
    <t>TF-K7</t>
  </si>
  <si>
    <t>Herkunft ohne Anmeldung, aber ohne Geheimnisse (ABGEMELDET)</t>
  </si>
  <si>
    <t xml:space="preserve">1. Abmelden, privates Fenster oeffnen
2. /de/herkunft/&lt;Code&gt; aufrufen
3. Seite vollstaendig durchlesen</t>
  </si>
  <si>
    <t>Steigen- oder Liefercode aus TF-K4</t>
  </si>
  <si>
    <t xml:space="preserve">Sichtbar: WO gewachsen, WANN gepflueckt, ob die Kuehlkette gehalten hat.
NICHT sichtbar: Name des Pflueckers, Menge, Preis.
Erscheint eines dieser drei: S1.</t>
  </si>
  <si>
    <t>Fundliste - hier kommen alle NOK und alle freien Funde zusammen</t>
  </si>
  <si>
    <t>Testfall</t>
  </si>
  <si>
    <t>Klasse S1-S4</t>
  </si>
  <si>
    <t>Was passiert ist</t>
  </si>
  <si>
    <t>Erwartet war</t>
  </si>
  <si>
    <t>Bildschirmfoto</t>
  </si>
  <si>
    <t>Status</t>
  </si>
  <si>
    <t>1</t>
  </si>
  <si>
    <t>BEISPIEL - vor Abgabe loeschen: In der Lohnliste erschien neben der eigenen Zeile auch A. Tulegenowa mit 186.400 Tenge netto.</t>
  </si>
  <si>
    <t>Nur die eigene Person darf erscheinen.</t>
  </si>
  <si>
    <t>TF-P3.png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</si>
</sst>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4"/>
      <name val="Arial"/>
    </font>
    <font>
      <sz val="10"/>
      <name val="Arial"/>
    </font>
    <font>
      <b/>
      <sz val="10"/>
      <name val="Arial"/>
    </font>
    <font>
      <b/>
      <color rgb="FFFFFFFF"/>
      <sz val="10"/>
      <name val="Arial"/>
    </font>
    <font>
      <i/>
      <color rgb="FF808080"/>
      <sz val="9"/>
      <name val="Arial"/>
    </font>
    <font>
      <i/>
      <color rgb="FF808080"/>
      <sz val="10"/>
      <name val="Arial"/>
    </font>
  </fonts>
  <fills count="12">
    <fill>
      <patternFill patternType="none"/>
    </fill>
    <fill>
      <patternFill patternType="gray125"/>
    </fill>
    <fill>
      <patternFill patternType="solid">
        <fgColor rgb="FF2F5597"/>
      </patternFill>
    </fill>
    <fill>
      <patternFill patternType="solid">
        <fgColor rgb="FFD9E2F3"/>
      </patternFill>
    </fill>
    <fill>
      <patternFill patternType="solid">
        <fgColor rgb="FF4472C4"/>
      </patternFill>
    </fill>
    <fill>
      <patternFill patternType="solid">
        <fgColor rgb="FFBF8F00"/>
      </patternFill>
    </fill>
    <fill>
      <patternFill patternType="solid">
        <fgColor rgb="FFFFF2CC"/>
      </patternFill>
    </fill>
    <fill>
      <patternFill patternType="solid">
        <fgColor rgb="FFF7F9FC"/>
      </patternFill>
    </fill>
    <fill>
      <patternFill patternType="solid">
        <fgColor rgb="FFC6EFCE"/>
      </patternFill>
    </fill>
    <fill>
      <patternFill patternType="solid">
        <fgColor rgb="FFFFC7CE"/>
      </patternFill>
    </fill>
    <fill>
      <patternFill patternType="solid">
        <fgColor rgb="FFFFEB9C"/>
      </patternFill>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0" fontId="1" fillId="2" borderId="0" xfId="0" applyFont="1" applyFill="1" applyAlignment="1">
      <alignment vertical="center" indent="1"/>
    </xf>
    <xf numFmtId="0" fontId="2" fillId="0" borderId="0" xfId="0" applyFont="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2" fillId="3" borderId="0" xfId="0" applyFont="1" applyFill="1" applyAlignment="1">
      <alignment vertical="top" wrapText="1"/>
    </xf>
    <xf numFmtId="0" fontId="4" fillId="4" borderId="1" xfId="0" applyFont="1" applyFill="1" applyBorder="1" applyAlignment="1">
      <alignment horizontal="center" vertical="center"/>
    </xf>
    <xf numFmtId="0" fontId="2" fillId="0" borderId="1" xfId="0" applyFont="1" applyBorder="1" applyAlignment="1">
      <alignment horizontal="left"/>
    </xf>
    <xf numFmtId="0" fontId="2" fillId="0" borderId="1" xfId="0" applyFont="1" applyBorder="1" applyAlignment="1">
      <alignment horizontal="center"/>
    </xf>
    <xf numFmtId="0" fontId="3" fillId="3" borderId="1" xfId="0" applyFont="1" applyFill="1" applyBorder="1" applyAlignment="1">
      <alignment horizontal="left"/>
    </xf>
    <xf numFmtId="0" fontId="3" fillId="3" borderId="1" xfId="0" applyFont="1" applyFill="1" applyBorder="1" applyAlignment="1">
      <alignment horizontal="center"/>
    </xf>
    <xf numFmtId="0" fontId="5" fillId="0" borderId="0" xfId="0" applyFont="1"/>
    <xf numFmtId="0" fontId="1" fillId="2" borderId="0" xfId="0" applyFont="1" applyFill="1" applyAlignment="1">
      <alignment horizontal="left" vertical="center" indent="1"/>
    </xf>
    <xf numFmtId="0" fontId="3" fillId="0" borderId="0" xfId="0" applyFont="1" applyAlignment="1">
      <alignment vertical="center" indent="1"/>
    </xf>
    <xf numFmtId="0" fontId="2" fillId="0" borderId="0" xfId="0" applyFont="1" applyAlignment="1">
      <alignment vertical="top" wrapText="1" inden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0" borderId="1" xfId="0" applyFont="1" applyBorder="1" applyAlignment="1">
      <alignment horizontal="center" vertical="top" wrapText="1"/>
    </xf>
    <xf numFmtId="0" fontId="2" fillId="0" borderId="1" xfId="0" applyFont="1" applyBorder="1" applyAlignment="1">
      <alignment horizontal="lef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2" fillId="7" borderId="1" xfId="0" applyFont="1" applyFill="1" applyBorder="1" applyAlignment="1">
      <alignment horizontal="left" vertical="top" wrapText="1"/>
    </xf>
    <xf numFmtId="0" fontId="3" fillId="0" borderId="0" xfId="0" applyFont="1" applyAlignment="1">
      <alignment horizontal="right"/>
    </xf>
    <xf numFmtId="0" fontId="3" fillId="8" borderId="1" xfId="0" applyFont="1" applyFill="1" applyBorder="1" applyAlignment="1">
      <alignment horizontal="center"/>
    </xf>
    <xf numFmtId="0" fontId="2" fillId="0" borderId="0" xfId="0" applyFont="1"/>
    <xf numFmtId="0" fontId="3" fillId="9" borderId="1" xfId="0" applyFont="1" applyFill="1" applyBorder="1" applyAlignment="1">
      <alignment horizontal="center"/>
    </xf>
    <xf numFmtId="0" fontId="3" fillId="10" borderId="1" xfId="0" applyFont="1" applyFill="1" applyBorder="1" applyAlignment="1">
      <alignment horizontal="center"/>
    </xf>
    <xf numFmtId="0" fontId="3" fillId="0" borderId="0" xfId="0" applyFont="1"/>
    <xf numFmtId="0" fontId="0" fillId="6" borderId="1" xfId="0" applyFill="1" applyBorder="1" applyAlignment="1">
      <alignment vertical="top" wrapText="1" indent="1"/>
    </xf>
    <xf numFmtId="0" fontId="1" fillId="11" borderId="0" xfId="0" applyFont="1" applyFill="1" applyAlignment="1">
      <alignment vertical="center" indent="1"/>
    </xf>
    <xf numFmtId="0" fontId="6" fillId="0" borderId="1" xfId="0" applyFont="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21">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5597"/>
    <pageSetUpPr fitToPage="1"/>
  </sheetPr>
  <dimension ref="A1:B51"/>
  <sheetFormatPr defaultRowHeight="15" outlineLevelRow="0" outlineLevelCol="0" x14ac:dyDescent="55"/>
  <cols>
    <col min="1" max="1" width="44" customWidth="1"/>
    <col min="2" max="2" width="104" customWidth="1"/>
  </cols>
  <sheetData>
    <row r="1" ht="26" customHeight="1" spans="1:2" x14ac:dyDescent="0.25">
      <c r="A1" s="1" t="s">
        <v>0</v>
      </c>
      <c r="B1" s="1"/>
    </row>
    <row r="2" spans="1:2" x14ac:dyDescent="0.25">
      <c r="A2" s="2" t="s">
        <v>1</v>
      </c>
      <c r="B2" s="2" t="s">
        <v>1</v>
      </c>
    </row>
    <row r="3" spans="1:2" x14ac:dyDescent="0.25">
      <c r="A3" s="3" t="s">
        <v>2</v>
      </c>
      <c r="B3" s="2" t="s">
        <v>3</v>
      </c>
    </row>
    <row r="4" spans="1:2" x14ac:dyDescent="0.25">
      <c r="A4" s="3" t="s">
        <v>4</v>
      </c>
      <c r="B4" s="2" t="s">
        <v>5</v>
      </c>
    </row>
    <row r="5" spans="1:2" x14ac:dyDescent="0.25">
      <c r="A5" s="3" t="s">
        <v>6</v>
      </c>
      <c r="B5" s="2" t="s">
        <v>7</v>
      </c>
    </row>
    <row r="6" spans="1:2" x14ac:dyDescent="0.25">
      <c r="A6" s="3" t="s">
        <v>8</v>
      </c>
      <c r="B6" s="2" t="s">
        <v>9</v>
      </c>
    </row>
    <row r="7" spans="1:2" x14ac:dyDescent="0.25">
      <c r="A7" s="2" t="s">
        <v>1</v>
      </c>
      <c r="B7" s="2" t="s">
        <v>1</v>
      </c>
    </row>
    <row r="8" spans="1:2" x14ac:dyDescent="0.25">
      <c r="A8" s="4" t="s">
        <v>10</v>
      </c>
      <c r="B8" s="5" t="s">
        <v>1</v>
      </c>
    </row>
    <row r="9" spans="1:2" x14ac:dyDescent="0.25">
      <c r="A9" s="2" t="s">
        <v>1</v>
      </c>
      <c r="B9" s="2" t="s">
        <v>11</v>
      </c>
    </row>
    <row r="10" spans="1:2" x14ac:dyDescent="0.25">
      <c r="A10" s="2" t="s">
        <v>1</v>
      </c>
      <c r="B10" s="2" t="s">
        <v>12</v>
      </c>
    </row>
    <row r="11" spans="1:2" x14ac:dyDescent="0.25">
      <c r="A11" s="2" t="s">
        <v>1</v>
      </c>
      <c r="B11" s="2" t="s">
        <v>13</v>
      </c>
    </row>
    <row r="12" spans="1:2" x14ac:dyDescent="0.25">
      <c r="A12" s="2" t="s">
        <v>1</v>
      </c>
      <c r="B12" s="2" t="s">
        <v>14</v>
      </c>
    </row>
    <row r="13" spans="1:2" x14ac:dyDescent="0.25">
      <c r="A13" s="2" t="s">
        <v>1</v>
      </c>
      <c r="B13" s="2" t="s">
        <v>15</v>
      </c>
    </row>
    <row r="14" spans="1:2" x14ac:dyDescent="0.25">
      <c r="A14" s="2" t="s">
        <v>1</v>
      </c>
      <c r="B14" s="2" t="s">
        <v>16</v>
      </c>
    </row>
    <row r="15" spans="1:2" x14ac:dyDescent="0.25">
      <c r="A15" s="2" t="s">
        <v>1</v>
      </c>
      <c r="B15" s="2" t="s">
        <v>17</v>
      </c>
    </row>
    <row r="16" spans="1:2" x14ac:dyDescent="0.25">
      <c r="A16" s="2" t="s">
        <v>1</v>
      </c>
      <c r="B16" s="2" t="s">
        <v>18</v>
      </c>
    </row>
    <row r="17" spans="1:2" x14ac:dyDescent="0.25">
      <c r="A17" s="2" t="s">
        <v>1</v>
      </c>
      <c r="B17" s="2" t="s">
        <v>1</v>
      </c>
    </row>
    <row r="18" spans="1:2" x14ac:dyDescent="0.25">
      <c r="A18" s="4" t="s">
        <v>19</v>
      </c>
      <c r="B18" s="5" t="s">
        <v>1</v>
      </c>
    </row>
    <row r="19" spans="1:2" x14ac:dyDescent="0.25">
      <c r="A19" s="2" t="s">
        <v>1</v>
      </c>
      <c r="B19" s="2" t="s">
        <v>20</v>
      </c>
    </row>
    <row r="20" spans="1:2" x14ac:dyDescent="0.25">
      <c r="A20" s="2" t="s">
        <v>1</v>
      </c>
      <c r="B20" s="2" t="s">
        <v>21</v>
      </c>
    </row>
    <row r="21" spans="1:2" x14ac:dyDescent="0.25">
      <c r="A21" s="2" t="s">
        <v>1</v>
      </c>
      <c r="B21" s="2" t="s">
        <v>22</v>
      </c>
    </row>
    <row r="22" spans="1:2" x14ac:dyDescent="0.25">
      <c r="A22" s="2" t="s">
        <v>1</v>
      </c>
      <c r="B22" s="2" t="s">
        <v>23</v>
      </c>
    </row>
    <row r="23" spans="1:2" x14ac:dyDescent="0.25">
      <c r="A23" s="2" t="s">
        <v>1</v>
      </c>
      <c r="B23" s="2" t="s">
        <v>24</v>
      </c>
    </row>
    <row r="24" spans="1:2" x14ac:dyDescent="0.25">
      <c r="A24" s="2" t="s">
        <v>1</v>
      </c>
      <c r="B24" s="2" t="s">
        <v>1</v>
      </c>
    </row>
    <row r="25" spans="1:2" x14ac:dyDescent="0.25">
      <c r="A25" s="4" t="s">
        <v>25</v>
      </c>
      <c r="B25" s="5" t="s">
        <v>1</v>
      </c>
    </row>
    <row r="26" spans="1:2" x14ac:dyDescent="0.25">
      <c r="A26" s="2" t="s">
        <v>1</v>
      </c>
      <c r="B26" s="2" t="s">
        <v>26</v>
      </c>
    </row>
    <row r="27" spans="1:2" x14ac:dyDescent="0.25">
      <c r="A27" s="2" t="s">
        <v>1</v>
      </c>
      <c r="B27" s="2" t="s">
        <v>27</v>
      </c>
    </row>
    <row r="28" spans="1:2" x14ac:dyDescent="0.25">
      <c r="A28" s="2" t="s">
        <v>1</v>
      </c>
      <c r="B28" s="2" t="s">
        <v>28</v>
      </c>
    </row>
    <row r="29" spans="1:2" x14ac:dyDescent="0.25">
      <c r="A29" s="2" t="s">
        <v>1</v>
      </c>
      <c r="B29" s="2" t="s">
        <v>29</v>
      </c>
    </row>
    <row r="30" spans="1:2" x14ac:dyDescent="0.25">
      <c r="A30" s="2" t="s">
        <v>1</v>
      </c>
      <c r="B30" s="2" t="s">
        <v>30</v>
      </c>
    </row>
    <row r="31" spans="1:2" x14ac:dyDescent="0.25">
      <c r="A31" s="2" t="s">
        <v>1</v>
      </c>
      <c r="B31" s="2" t="s">
        <v>1</v>
      </c>
    </row>
    <row r="32" spans="1:2" x14ac:dyDescent="0.25">
      <c r="A32" s="4" t="s">
        <v>31</v>
      </c>
      <c r="B32" s="5" t="s">
        <v>1</v>
      </c>
    </row>
    <row r="33" spans="1:2" x14ac:dyDescent="0.25">
      <c r="A33" s="3" t="s">
        <v>32</v>
      </c>
      <c r="B33" s="2" t="s">
        <v>33</v>
      </c>
    </row>
    <row r="34" spans="1:2" x14ac:dyDescent="0.25">
      <c r="A34" s="3" t="s">
        <v>34</v>
      </c>
      <c r="B34" s="2" t="s">
        <v>35</v>
      </c>
    </row>
    <row r="35" spans="1:2" x14ac:dyDescent="0.25">
      <c r="A35" s="3" t="s">
        <v>36</v>
      </c>
      <c r="B35" s="2" t="s">
        <v>37</v>
      </c>
    </row>
    <row r="36" spans="1:2" x14ac:dyDescent="0.25">
      <c r="A36" s="3" t="s">
        <v>38</v>
      </c>
      <c r="B36" s="2" t="s">
        <v>39</v>
      </c>
    </row>
    <row r="37" spans="1:2" x14ac:dyDescent="0.25">
      <c r="A37" s="2" t="s">
        <v>1</v>
      </c>
      <c r="B37" s="2" t="s">
        <v>40</v>
      </c>
    </row>
    <row r="38" spans="1:2" x14ac:dyDescent="0.25">
      <c r="A38" s="2" t="s">
        <v>1</v>
      </c>
      <c r="B38" s="2" t="s">
        <v>1</v>
      </c>
    </row>
    <row r="39" spans="1:2" x14ac:dyDescent="0.25">
      <c r="A39" s="4" t="s">
        <v>41</v>
      </c>
      <c r="B39" s="5" t="s">
        <v>1</v>
      </c>
    </row>
    <row r="40" spans="1:2" x14ac:dyDescent="0.25">
      <c r="A40" s="2" t="s">
        <v>1</v>
      </c>
      <c r="B40" s="2" t="s">
        <v>42</v>
      </c>
    </row>
    <row r="41" spans="1:2" x14ac:dyDescent="0.25">
      <c r="A41" s="2" t="s">
        <v>1</v>
      </c>
      <c r="B41" s="2" t="s">
        <v>43</v>
      </c>
    </row>
    <row r="42" spans="1:2" x14ac:dyDescent="0.25">
      <c r="A42" s="2" t="s">
        <v>1</v>
      </c>
      <c r="B42" s="2" t="s">
        <v>44</v>
      </c>
    </row>
    <row r="43" spans="1:2" x14ac:dyDescent="0.25">
      <c r="A43" s="2" t="s">
        <v>1</v>
      </c>
      <c r="B43" s="2" t="s">
        <v>45</v>
      </c>
    </row>
    <row r="44" spans="1:2" x14ac:dyDescent="0.25">
      <c r="A44" s="2" t="s">
        <v>1</v>
      </c>
      <c r="B44" s="2" t="s">
        <v>46</v>
      </c>
    </row>
    <row r="45" spans="1:2" x14ac:dyDescent="0.25">
      <c r="A45" s="2" t="s">
        <v>1</v>
      </c>
      <c r="B45" s="2" t="s">
        <v>47</v>
      </c>
    </row>
    <row r="46" spans="1:2" x14ac:dyDescent="0.25">
      <c r="A46" s="2" t="s">
        <v>1</v>
      </c>
      <c r="B46" s="2" t="s">
        <v>48</v>
      </c>
    </row>
    <row r="47" spans="1:2" x14ac:dyDescent="0.25">
      <c r="A47" s="2" t="s">
        <v>1</v>
      </c>
      <c r="B47" s="2" t="s">
        <v>1</v>
      </c>
    </row>
    <row r="48" spans="1:2" x14ac:dyDescent="0.25">
      <c r="A48" s="4" t="s">
        <v>49</v>
      </c>
      <c r="B48" s="5" t="s">
        <v>1</v>
      </c>
    </row>
    <row r="49" spans="1:2" x14ac:dyDescent="0.25">
      <c r="A49" s="2" t="s">
        <v>1</v>
      </c>
      <c r="B49" s="2" t="s">
        <v>50</v>
      </c>
    </row>
    <row r="50" spans="1:2" x14ac:dyDescent="0.25">
      <c r="A50" s="2" t="s">
        <v>1</v>
      </c>
      <c r="B50" s="2" t="s">
        <v>51</v>
      </c>
    </row>
    <row r="51" spans="1:2" x14ac:dyDescent="0.25">
      <c r="A51" s="2" t="s">
        <v>1</v>
      </c>
      <c r="B51" s="2" t="s">
        <v>52</v>
      </c>
    </row>
  </sheetData>
  <mergeCells count="1">
    <mergeCell ref="A1:B1"/>
  </mergeCells>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F14"/>
  <sheetFormatPr defaultRowHeight="15" outlineLevelRow="0" outlineLevelCol="0" x14ac:dyDescent="55"/>
  <cols>
    <col min="1" max="1" width="26" customWidth="1"/>
    <col min="2" max="6" width="14" customWidth="1"/>
  </cols>
  <sheetData>
    <row r="1" ht="26" customHeight="1" spans="1:6" x14ac:dyDescent="0.25">
      <c r="A1" s="1" t="s">
        <v>53</v>
      </c>
      <c r="B1" s="1"/>
      <c r="C1" s="1"/>
      <c r="D1" s="1"/>
      <c r="E1" s="1"/>
      <c r="F1" s="1"/>
    </row>
    <row r="3" spans="1:6" x14ac:dyDescent="0.25">
      <c r="A3" s="6" t="s">
        <v>54</v>
      </c>
      <c r="B3" s="6" t="s">
        <v>55</v>
      </c>
      <c r="C3" s="6" t="s">
        <v>56</v>
      </c>
      <c r="D3" s="6" t="s">
        <v>57</v>
      </c>
      <c r="E3" s="6" t="s">
        <v>58</v>
      </c>
      <c r="F3" s="6" t="s">
        <v>59</v>
      </c>
    </row>
    <row r="4" spans="1:6" x14ac:dyDescent="0.25">
      <c r="A4" s="7" t="s">
        <v>60</v>
      </c>
      <c r="B4" s="8">
        <v>7</v>
      </c>
      <c r="C4" s="8">
        <f>COUNTIF(Admin!F6:F12,"OK")</f>
      </c>
      <c r="D4" s="8">
        <f>COUNTIF(Admin!F6:F12,"NOK")</f>
      </c>
      <c r="E4" s="8">
        <f>COUNTIF(Admin!F6:F12,"blockiert")</f>
      </c>
      <c r="F4" s="8">
        <f>B4-C4-D4-E4</f>
      </c>
    </row>
    <row r="5" spans="1:6" x14ac:dyDescent="0.25">
      <c r="A5" s="7" t="s">
        <v>61</v>
      </c>
      <c r="B5" s="8">
        <v>6</v>
      </c>
      <c r="C5" s="8">
        <f>COUNTIF(Betriebsleitung!F6:F11,"OK")</f>
      </c>
      <c r="D5" s="8">
        <f>COUNTIF(Betriebsleitung!F6:F11,"NOK")</f>
      </c>
      <c r="E5" s="8">
        <f>COUNTIF(Betriebsleitung!F6:F11,"blockiert")</f>
      </c>
      <c r="F5" s="8">
        <f>B5-C5-D5-E5</f>
      </c>
    </row>
    <row r="6" spans="1:6" x14ac:dyDescent="0.25">
      <c r="A6" s="7" t="s">
        <v>62</v>
      </c>
      <c r="B6" s="8">
        <v>7</v>
      </c>
      <c r="C6" s="8">
        <f>COUNTIF(Buchhaltung!F6:F12,"OK")</f>
      </c>
      <c r="D6" s="8">
        <f>COUNTIF(Buchhaltung!F6:F12,"NOK")</f>
      </c>
      <c r="E6" s="8">
        <f>COUNTIF(Buchhaltung!F6:F12,"blockiert")</f>
      </c>
      <c r="F6" s="8">
        <f>B6-C6-D6-E6</f>
      </c>
    </row>
    <row r="7" spans="1:6" x14ac:dyDescent="0.25">
      <c r="A7" s="7" t="s">
        <v>63</v>
      </c>
      <c r="B7" s="8">
        <v>6</v>
      </c>
      <c r="C7" s="8">
        <f>COUNTIF(Brigade!F6:F11,"OK")</f>
      </c>
      <c r="D7" s="8">
        <f>COUNTIF(Brigade!F6:F11,"NOK")</f>
      </c>
      <c r="E7" s="8">
        <f>COUNTIF(Brigade!F6:F11,"blockiert")</f>
      </c>
      <c r="F7" s="8">
        <f>B7-C7-D7-E7</f>
      </c>
    </row>
    <row r="8" spans="1:6" x14ac:dyDescent="0.25">
      <c r="A8" s="7" t="s">
        <v>64</v>
      </c>
      <c r="B8" s="8">
        <v>5</v>
      </c>
      <c r="C8" s="8">
        <f>COUNTIF(Pfluecker!F6:F10,"OK")</f>
      </c>
      <c r="D8" s="8">
        <f>COUNTIF(Pfluecker!F6:F10,"NOK")</f>
      </c>
      <c r="E8" s="8">
        <f>COUNTIF(Pfluecker!F6:F10,"blockiert")</f>
      </c>
      <c r="F8" s="8">
        <f>B8-C8-D8-E8</f>
      </c>
    </row>
    <row r="9" spans="1:6" x14ac:dyDescent="0.25">
      <c r="A9" s="7" t="s">
        <v>65</v>
      </c>
      <c r="B9" s="8">
        <v>5</v>
      </c>
      <c r="C9" s="8">
        <f>COUNTIF(Erzeuger!F6:F10,"OK")</f>
      </c>
      <c r="D9" s="8">
        <f>COUNTIF(Erzeuger!F6:F10,"NOK")</f>
      </c>
      <c r="E9" s="8">
        <f>COUNTIF(Erzeuger!F6:F10,"blockiert")</f>
      </c>
      <c r="F9" s="8">
        <f>B9-C9-D9-E9</f>
      </c>
    </row>
    <row r="10" spans="1:6" x14ac:dyDescent="0.25">
      <c r="A10" s="7" t="s">
        <v>66</v>
      </c>
      <c r="B10" s="8">
        <v>7</v>
      </c>
      <c r="C10" s="8">
        <f>COUNTIF(Kunde!F6:F12,"OK")</f>
      </c>
      <c r="D10" s="8">
        <f>COUNTIF(Kunde!F6:F12,"NOK")</f>
      </c>
      <c r="E10" s="8">
        <f>COUNTIF(Kunde!F6:F12,"blockiert")</f>
      </c>
      <c r="F10" s="8">
        <f>B10-C10-D10-E10</f>
      </c>
    </row>
    <row r="11" spans="1:6" x14ac:dyDescent="0.25">
      <c r="A11" s="9" t="s">
        <v>67</v>
      </c>
      <c r="B11" s="10">
        <f>SUM(B4:B10)</f>
      </c>
      <c r="C11" s="10">
        <f>SUM(C4:C10)</f>
      </c>
      <c r="D11" s="10">
        <f>SUM(D4:D10)</f>
      </c>
      <c r="E11" s="10">
        <f>SUM(E4:E10)</f>
      </c>
      <c r="F11" s="10">
        <f>SUM(F4:F10)</f>
      </c>
    </row>
    <row r="13" spans="1:1" x14ac:dyDescent="0.25">
      <c r="A13" s="11" t="s">
        <v>68</v>
      </c>
    </row>
    <row r="14" spans="1:1" x14ac:dyDescent="0.25">
      <c r="A14" s="11" t="s">
        <v>69</v>
      </c>
    </row>
  </sheetData>
  <mergeCells count="1">
    <mergeCell ref="A1:F1"/>
  </mergeCells>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workbookViewId="0">
      <pane xSplit="1" ySplit="5" topLeftCell="B6" activePane="bottomRight" state="frozen"/>
      <selection pane="bottomRight"/>
    </sheetView>
  </sheetViews>
  <sheetFormatPr defaultRowHeight="15" outlineLevelRow="0" outlineLevelCol="0" x14ac:dyDescent="55"/>
  <cols>
    <col min="1" max="1" width="10" customWidth="1"/>
    <col min="2" max="2" width="30" customWidth="1"/>
    <col min="3" max="3" width="46" customWidth="1"/>
    <col min="4" max="4" width="38" customWidth="1"/>
    <col min="5" max="5" width="52" customWidth="1"/>
    <col min="6" max="6" width="14" customWidth="1"/>
    <col min="7" max="7" width="38" customWidth="1"/>
    <col min="8" max="8" width="16" customWidth="1"/>
  </cols>
  <sheetData>
    <row r="1" ht="26" customHeight="1" spans="1:8" x14ac:dyDescent="0.25">
      <c r="A1" s="12" t="s">
        <v>70</v>
      </c>
      <c r="B1" s="12"/>
      <c r="C1" s="12"/>
      <c r="D1" s="12"/>
      <c r="E1" s="12"/>
      <c r="F1" s="12"/>
      <c r="G1" s="12"/>
      <c r="H1" s="12"/>
    </row>
    <row r="2" spans="1:8" x14ac:dyDescent="0.25">
      <c r="A2" s="13" t="s">
        <v>71</v>
      </c>
      <c r="B2" s="13"/>
      <c r="C2" s="13"/>
      <c r="D2" s="13"/>
      <c r="E2" s="13"/>
      <c r="F2" s="13"/>
      <c r="G2" s="13"/>
      <c r="H2" s="13"/>
    </row>
    <row r="3" ht="261" customHeight="1" spans="1:8" x14ac:dyDescent="0.25">
      <c r="A3" s="14" t="s">
        <v>72</v>
      </c>
      <c r="B3" s="14"/>
      <c r="C3" s="14"/>
      <c r="D3" s="14"/>
      <c r="E3" s="14"/>
      <c r="F3" s="14"/>
      <c r="G3" s="14"/>
      <c r="H3" s="14"/>
    </row>
    <row r="4" ht="6" customHeight="1" x14ac:dyDescent="0.25"/>
    <row r="5" ht="22" customHeight="1" spans="1:8" x14ac:dyDescent="0.25">
      <c r="A5" s="15" t="s">
        <v>73</v>
      </c>
      <c r="B5" s="15" t="s">
        <v>74</v>
      </c>
      <c r="C5" s="15" t="s">
        <v>75</v>
      </c>
      <c r="D5" s="15" t="s">
        <v>76</v>
      </c>
      <c r="E5" s="15" t="s">
        <v>77</v>
      </c>
      <c r="F5" s="16" t="s">
        <v>78</v>
      </c>
      <c r="G5" s="16" t="s">
        <v>79</v>
      </c>
      <c r="H5" s="16" t="s">
        <v>80</v>
      </c>
    </row>
    <row r="6" ht="58" customHeight="1" spans="1:8" x14ac:dyDescent="0.25">
      <c r="A6" s="17" t="s">
        <v>81</v>
      </c>
      <c r="B6" s="18" t="s">
        <v>82</v>
      </c>
      <c r="C6" s="18" t="s">
        <v>83</v>
      </c>
      <c r="D6" s="18" t="s">
        <v>84</v>
      </c>
      <c r="E6" s="18" t="s">
        <v>85</v>
      </c>
      <c r="F6" s="19" t="s">
        <v>1</v>
      </c>
      <c r="G6" s="20" t="s">
        <v>1</v>
      </c>
      <c r="H6" s="20" t="s">
        <v>1</v>
      </c>
    </row>
    <row r="7" ht="71" customHeight="1" spans="1:8" x14ac:dyDescent="0.25">
      <c r="A7" s="21" t="s">
        <v>86</v>
      </c>
      <c r="B7" s="22" t="s">
        <v>87</v>
      </c>
      <c r="C7" s="22" t="s">
        <v>88</v>
      </c>
      <c r="D7" s="22" t="s">
        <v>89</v>
      </c>
      <c r="E7" s="22" t="s">
        <v>90</v>
      </c>
      <c r="F7" s="19" t="s">
        <v>1</v>
      </c>
      <c r="G7" s="20" t="s">
        <v>1</v>
      </c>
      <c r="H7" s="20" t="s">
        <v>1</v>
      </c>
    </row>
    <row r="8" ht="58" customHeight="1" spans="1:8" x14ac:dyDescent="0.25">
      <c r="A8" s="17" t="s">
        <v>91</v>
      </c>
      <c r="B8" s="18" t="s">
        <v>92</v>
      </c>
      <c r="C8" s="18" t="s">
        <v>93</v>
      </c>
      <c r="D8" s="18" t="s">
        <v>94</v>
      </c>
      <c r="E8" s="18" t="s">
        <v>95</v>
      </c>
      <c r="F8" s="19" t="s">
        <v>1</v>
      </c>
      <c r="G8" s="20" t="s">
        <v>1</v>
      </c>
      <c r="H8" s="20" t="s">
        <v>1</v>
      </c>
    </row>
    <row r="9" ht="58" customHeight="1" spans="1:8" x14ac:dyDescent="0.25">
      <c r="A9" s="21" t="s">
        <v>96</v>
      </c>
      <c r="B9" s="22" t="s">
        <v>97</v>
      </c>
      <c r="C9" s="22" t="s">
        <v>98</v>
      </c>
      <c r="D9" s="22" t="s">
        <v>99</v>
      </c>
      <c r="E9" s="22" t="s">
        <v>100</v>
      </c>
      <c r="F9" s="19" t="s">
        <v>1</v>
      </c>
      <c r="G9" s="20" t="s">
        <v>1</v>
      </c>
      <c r="H9" s="20" t="s">
        <v>1</v>
      </c>
    </row>
    <row r="10" ht="84" customHeight="1" spans="1:8" x14ac:dyDescent="0.25">
      <c r="A10" s="17" t="s">
        <v>101</v>
      </c>
      <c r="B10" s="18" t="s">
        <v>102</v>
      </c>
      <c r="C10" s="18" t="s">
        <v>103</v>
      </c>
      <c r="D10" s="18" t="s">
        <v>104</v>
      </c>
      <c r="E10" s="18" t="s">
        <v>105</v>
      </c>
      <c r="F10" s="19" t="s">
        <v>1</v>
      </c>
      <c r="G10" s="20" t="s">
        <v>1</v>
      </c>
      <c r="H10" s="20" t="s">
        <v>1</v>
      </c>
    </row>
    <row r="11" ht="58" customHeight="1" spans="1:8" x14ac:dyDescent="0.25">
      <c r="A11" s="21" t="s">
        <v>106</v>
      </c>
      <c r="B11" s="22" t="s">
        <v>107</v>
      </c>
      <c r="C11" s="22" t="s">
        <v>108</v>
      </c>
      <c r="D11" s="22" t="s">
        <v>109</v>
      </c>
      <c r="E11" s="22" t="s">
        <v>110</v>
      </c>
      <c r="F11" s="19" t="s">
        <v>1</v>
      </c>
      <c r="G11" s="20" t="s">
        <v>1</v>
      </c>
      <c r="H11" s="20" t="s">
        <v>1</v>
      </c>
    </row>
    <row r="12" ht="58" customHeight="1" spans="1:8" x14ac:dyDescent="0.25">
      <c r="A12" s="17" t="s">
        <v>111</v>
      </c>
      <c r="B12" s="18" t="s">
        <v>112</v>
      </c>
      <c r="C12" s="18" t="s">
        <v>113</v>
      </c>
      <c r="D12" s="18" t="s">
        <v>114</v>
      </c>
      <c r="E12" s="18" t="s">
        <v>115</v>
      </c>
      <c r="F12" s="19" t="s">
        <v>1</v>
      </c>
      <c r="G12" s="20" t="s">
        <v>1</v>
      </c>
      <c r="H12" s="20" t="s">
        <v>1</v>
      </c>
    </row>
    <row r="14" spans="5:7" x14ac:dyDescent="0.25">
      <c r="E14" s="23" t="s">
        <v>116</v>
      </c>
      <c r="F14" s="24">
        <f>COUNTIF(F6:F12,"OK")</f>
      </c>
      <c r="G14" s="25" t="s">
        <v>117</v>
      </c>
    </row>
    <row r="15" spans="6:7" x14ac:dyDescent="0.25">
      <c r="F15" s="26">
        <f>COUNTIF(F6:F12,"NOK")</f>
      </c>
      <c r="G15" s="25" t="s">
        <v>118</v>
      </c>
    </row>
    <row r="16" spans="6:7" x14ac:dyDescent="0.25">
      <c r="F16" s="27">
        <f>COUNTIF(F6:F12,"blockiert")</f>
      </c>
      <c r="G16" s="25" t="s">
        <v>119</v>
      </c>
    </row>
    <row r="18" spans="1:1" x14ac:dyDescent="0.25">
      <c r="A18" s="28" t="s">
        <v>120</v>
      </c>
    </row>
    <row r="19" spans="1:8" x14ac:dyDescent="0.25">
      <c r="A19" s="29"/>
      <c r="B19" s="29"/>
      <c r="C19" s="29"/>
      <c r="D19" s="29"/>
      <c r="E19" s="29"/>
      <c r="F19" s="29"/>
      <c r="G19" s="29"/>
      <c r="H19" s="29"/>
    </row>
    <row r="20" spans="1:8" x14ac:dyDescent="0.25">
      <c r="A20" s="29"/>
      <c r="B20" s="29"/>
      <c r="C20" s="29"/>
      <c r="D20" s="29"/>
      <c r="E20" s="29"/>
      <c r="F20" s="29"/>
      <c r="G20" s="29"/>
      <c r="H20" s="29"/>
    </row>
    <row r="21" spans="1:8" x14ac:dyDescent="0.25">
      <c r="A21" s="29"/>
      <c r="B21" s="29"/>
      <c r="C21" s="29"/>
      <c r="D21" s="29"/>
      <c r="E21" s="29"/>
      <c r="F21" s="29"/>
      <c r="G21" s="29"/>
      <c r="H21" s="29"/>
    </row>
    <row r="22" spans="1:8" x14ac:dyDescent="0.25">
      <c r="A22" s="29"/>
      <c r="B22" s="29"/>
      <c r="C22" s="29"/>
      <c r="D22" s="29"/>
      <c r="E22" s="29"/>
      <c r="F22" s="29"/>
      <c r="G22" s="29"/>
      <c r="H22" s="29"/>
    </row>
    <row r="24" spans="1:1" x14ac:dyDescent="0.25">
      <c r="A24" s="28" t="s">
        <v>121</v>
      </c>
    </row>
    <row r="25" spans="1:8" x14ac:dyDescent="0.25">
      <c r="A25" s="29"/>
      <c r="B25" s="29"/>
      <c r="C25" s="29"/>
      <c r="D25" s="29"/>
      <c r="E25" s="29"/>
      <c r="F25" s="29"/>
      <c r="G25" s="29"/>
      <c r="H25" s="29"/>
    </row>
    <row r="26" spans="1:8" x14ac:dyDescent="0.25">
      <c r="A26" s="29"/>
      <c r="B26" s="29"/>
      <c r="C26" s="29"/>
      <c r="D26" s="29"/>
      <c r="E26" s="29"/>
      <c r="F26" s="29"/>
      <c r="G26" s="29"/>
      <c r="H26" s="29"/>
    </row>
    <row r="27" spans="1:8" x14ac:dyDescent="0.25">
      <c r="A27" s="29"/>
      <c r="B27" s="29"/>
      <c r="C27" s="29"/>
      <c r="D27" s="29"/>
      <c r="E27" s="29"/>
      <c r="F27" s="29"/>
      <c r="G27" s="29"/>
      <c r="H27" s="29"/>
    </row>
  </sheetData>
  <autoFilter ref="A5:H12"/>
  <mergeCells count="5">
    <mergeCell ref="A1:H1"/>
    <mergeCell ref="A2:H2"/>
    <mergeCell ref="A3:H3"/>
    <mergeCell ref="A19:H22"/>
    <mergeCell ref="A25:H27"/>
  </mergeCells>
  <conditionalFormatting sqref="F6:F12">
    <cfRule type="cellIs" dxfId="0" priority="1" operator="equal">
      <formula>"OK"</formula>
    </cfRule>
    <cfRule type="cellIs" dxfId="1" priority="2" operator="equal">
      <formula>"NOK"</formula>
    </cfRule>
    <cfRule type="cellIs" dxfId="2" priority="3" operator="equal">
      <formula>"blockiert"</formula>
    </cfRule>
  </conditionalFormatting>
  <dataValidations count="2">
    <dataValidation type="list" allowBlank="1" showErrorMessage="1" errorTitle="Nur diese vier Werte" error="Bitte OK, NOK, blockiert oder offen waehlen." sqref="F10:F12">
      <formula1>"OK,NOK,blockiert,offen"</formula1>
    </dataValidation>
    <dataValidation type="list" allowBlank="1" showErrorMessage="1" errorTitle="Nur diese vier Werte" error="Bitte OK, NOK, blockiert oder offen waehlen." sqref="F6:F12">
      <formula1>"OK,NOK,blockiert,offen"</formula1>
    </dataValidation>
  </dataValidations>
  <pageMargins left="0.3" right="0.3" top="0.4" bottom="0.4" header="0.2" footer="0.2"/>
  <pageSetup paperSize="9" orientation="landscape" fitToWidth="1" fitToHeight="0"/>
  <headerFooter>
    <oddFooter>&amp;LDamicon Testfaelle - Rolle: Admin&amp;RSeite &amp;P von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6"/>
  <sheetViews>
    <sheetView workbookViewId="0">
      <pane xSplit="1" ySplit="5" topLeftCell="B6" activePane="bottomRight" state="frozen"/>
      <selection pane="bottomRight"/>
    </sheetView>
  </sheetViews>
  <sheetFormatPr defaultRowHeight="15" outlineLevelRow="0" outlineLevelCol="0" x14ac:dyDescent="55"/>
  <cols>
    <col min="1" max="1" width="10" customWidth="1"/>
    <col min="2" max="2" width="30" customWidth="1"/>
    <col min="3" max="3" width="46" customWidth="1"/>
    <col min="4" max="4" width="38" customWidth="1"/>
    <col min="5" max="5" width="52" customWidth="1"/>
    <col min="6" max="6" width="14" customWidth="1"/>
    <col min="7" max="7" width="38" customWidth="1"/>
    <col min="8" max="8" width="16" customWidth="1"/>
  </cols>
  <sheetData>
    <row r="1" ht="26" customHeight="1" spans="1:8" x14ac:dyDescent="0.25">
      <c r="A1" s="12" t="s">
        <v>122</v>
      </c>
      <c r="B1" s="12"/>
      <c r="C1" s="12"/>
      <c r="D1" s="12"/>
      <c r="E1" s="12"/>
      <c r="F1" s="12"/>
      <c r="G1" s="12"/>
      <c r="H1" s="12"/>
    </row>
    <row r="2" spans="1:8" x14ac:dyDescent="0.25">
      <c r="A2" s="13" t="s">
        <v>123</v>
      </c>
      <c r="B2" s="13"/>
      <c r="C2" s="13"/>
      <c r="D2" s="13"/>
      <c r="E2" s="13"/>
      <c r="F2" s="13"/>
      <c r="G2" s="13"/>
      <c r="H2" s="13"/>
    </row>
    <row r="3" ht="328" customHeight="1" spans="1:8" x14ac:dyDescent="0.25">
      <c r="A3" s="14" t="s">
        <v>124</v>
      </c>
      <c r="B3" s="14"/>
      <c r="C3" s="14"/>
      <c r="D3" s="14"/>
      <c r="E3" s="14"/>
      <c r="F3" s="14"/>
      <c r="G3" s="14"/>
      <c r="H3" s="14"/>
    </row>
    <row r="4" ht="6" customHeight="1" x14ac:dyDescent="0.25"/>
    <row r="5" ht="22" customHeight="1" spans="1:8" x14ac:dyDescent="0.25">
      <c r="A5" s="15" t="s">
        <v>73</v>
      </c>
      <c r="B5" s="15" t="s">
        <v>74</v>
      </c>
      <c r="C5" s="15" t="s">
        <v>75</v>
      </c>
      <c r="D5" s="15" t="s">
        <v>76</v>
      </c>
      <c r="E5" s="15" t="s">
        <v>77</v>
      </c>
      <c r="F5" s="16" t="s">
        <v>78</v>
      </c>
      <c r="G5" s="16" t="s">
        <v>79</v>
      </c>
      <c r="H5" s="16" t="s">
        <v>80</v>
      </c>
    </row>
    <row r="6" ht="58" customHeight="1" spans="1:8" x14ac:dyDescent="0.25">
      <c r="A6" s="17" t="s">
        <v>125</v>
      </c>
      <c r="B6" s="18" t="s">
        <v>126</v>
      </c>
      <c r="C6" s="18" t="s">
        <v>127</v>
      </c>
      <c r="D6" s="18" t="s">
        <v>128</v>
      </c>
      <c r="E6" s="18" t="s">
        <v>129</v>
      </c>
      <c r="F6" s="19" t="s">
        <v>1</v>
      </c>
      <c r="G6" s="20" t="s">
        <v>1</v>
      </c>
      <c r="H6" s="20" t="s">
        <v>1</v>
      </c>
    </row>
    <row r="7" ht="97" customHeight="1" spans="1:8" x14ac:dyDescent="0.25">
      <c r="A7" s="21" t="s">
        <v>130</v>
      </c>
      <c r="B7" s="22" t="s">
        <v>131</v>
      </c>
      <c r="C7" s="22" t="s">
        <v>132</v>
      </c>
      <c r="D7" s="22" t="s">
        <v>133</v>
      </c>
      <c r="E7" s="22" t="s">
        <v>134</v>
      </c>
      <c r="F7" s="19" t="s">
        <v>1</v>
      </c>
      <c r="G7" s="20" t="s">
        <v>1</v>
      </c>
      <c r="H7" s="20" t="s">
        <v>1</v>
      </c>
    </row>
    <row r="8" ht="58" customHeight="1" spans="1:8" x14ac:dyDescent="0.25">
      <c r="A8" s="17" t="s">
        <v>135</v>
      </c>
      <c r="B8" s="18" t="s">
        <v>136</v>
      </c>
      <c r="C8" s="18" t="s">
        <v>137</v>
      </c>
      <c r="D8" s="18" t="s">
        <v>138</v>
      </c>
      <c r="E8" s="18" t="s">
        <v>139</v>
      </c>
      <c r="F8" s="19" t="s">
        <v>1</v>
      </c>
      <c r="G8" s="20" t="s">
        <v>1</v>
      </c>
      <c r="H8" s="20" t="s">
        <v>1</v>
      </c>
    </row>
    <row r="9" ht="71" customHeight="1" spans="1:8" x14ac:dyDescent="0.25">
      <c r="A9" s="21" t="s">
        <v>140</v>
      </c>
      <c r="B9" s="22" t="s">
        <v>141</v>
      </c>
      <c r="C9" s="22" t="s">
        <v>142</v>
      </c>
      <c r="D9" s="22" t="s">
        <v>143</v>
      </c>
      <c r="E9" s="22" t="s">
        <v>144</v>
      </c>
      <c r="F9" s="19" t="s">
        <v>1</v>
      </c>
      <c r="G9" s="20" t="s">
        <v>1</v>
      </c>
      <c r="H9" s="20" t="s">
        <v>1</v>
      </c>
    </row>
    <row r="10" ht="58" customHeight="1" spans="1:8" x14ac:dyDescent="0.25">
      <c r="A10" s="17" t="s">
        <v>145</v>
      </c>
      <c r="B10" s="18" t="s">
        <v>146</v>
      </c>
      <c r="C10" s="18" t="s">
        <v>147</v>
      </c>
      <c r="D10" s="18" t="s">
        <v>148</v>
      </c>
      <c r="E10" s="18" t="s">
        <v>149</v>
      </c>
      <c r="F10" s="19" t="s">
        <v>1</v>
      </c>
      <c r="G10" s="20" t="s">
        <v>1</v>
      </c>
      <c r="H10" s="20" t="s">
        <v>1</v>
      </c>
    </row>
    <row r="11" ht="71" customHeight="1" spans="1:8" x14ac:dyDescent="0.25">
      <c r="A11" s="21" t="s">
        <v>150</v>
      </c>
      <c r="B11" s="22" t="s">
        <v>151</v>
      </c>
      <c r="C11" s="22" t="s">
        <v>152</v>
      </c>
      <c r="D11" s="22" t="s">
        <v>84</v>
      </c>
      <c r="E11" s="22" t="s">
        <v>153</v>
      </c>
      <c r="F11" s="19" t="s">
        <v>1</v>
      </c>
      <c r="G11" s="20" t="s">
        <v>1</v>
      </c>
      <c r="H11" s="20" t="s">
        <v>1</v>
      </c>
    </row>
    <row r="13" spans="5:7" x14ac:dyDescent="0.25">
      <c r="E13" s="23" t="s">
        <v>116</v>
      </c>
      <c r="F13" s="24">
        <f>COUNTIF(F6:F11,"OK")</f>
      </c>
      <c r="G13" s="25" t="s">
        <v>154</v>
      </c>
    </row>
    <row r="14" spans="6:7" x14ac:dyDescent="0.25">
      <c r="F14" s="26">
        <f>COUNTIF(F6:F11,"NOK")</f>
      </c>
      <c r="G14" s="25" t="s">
        <v>155</v>
      </c>
    </row>
    <row r="15" spans="6:7" x14ac:dyDescent="0.25">
      <c r="F15" s="27">
        <f>COUNTIF(F6:F11,"blockiert")</f>
      </c>
      <c r="G15" s="25" t="s">
        <v>156</v>
      </c>
    </row>
    <row r="17" spans="1:1" x14ac:dyDescent="0.25">
      <c r="A17" s="28" t="s">
        <v>120</v>
      </c>
    </row>
    <row r="18" spans="1:8" x14ac:dyDescent="0.25">
      <c r="A18" s="29"/>
      <c r="B18" s="29"/>
      <c r="C18" s="29"/>
      <c r="D18" s="29"/>
      <c r="E18" s="29"/>
      <c r="F18" s="29"/>
      <c r="G18" s="29"/>
      <c r="H18" s="29"/>
    </row>
    <row r="19" spans="1:8" x14ac:dyDescent="0.25">
      <c r="A19" s="29"/>
      <c r="B19" s="29"/>
      <c r="C19" s="29"/>
      <c r="D19" s="29"/>
      <c r="E19" s="29"/>
      <c r="F19" s="29"/>
      <c r="G19" s="29"/>
      <c r="H19" s="29"/>
    </row>
    <row r="20" spans="1:8" x14ac:dyDescent="0.25">
      <c r="A20" s="29"/>
      <c r="B20" s="29"/>
      <c r="C20" s="29"/>
      <c r="D20" s="29"/>
      <c r="E20" s="29"/>
      <c r="F20" s="29"/>
      <c r="G20" s="29"/>
      <c r="H20" s="29"/>
    </row>
    <row r="21" spans="1:8" x14ac:dyDescent="0.25">
      <c r="A21" s="29"/>
      <c r="B21" s="29"/>
      <c r="C21" s="29"/>
      <c r="D21" s="29"/>
      <c r="E21" s="29"/>
      <c r="F21" s="29"/>
      <c r="G21" s="29"/>
      <c r="H21" s="29"/>
    </row>
    <row r="23" spans="1:1" x14ac:dyDescent="0.25">
      <c r="A23" s="28" t="s">
        <v>121</v>
      </c>
    </row>
    <row r="24" spans="1:8" x14ac:dyDescent="0.25">
      <c r="A24" s="29"/>
      <c r="B24" s="29"/>
      <c r="C24" s="29"/>
      <c r="D24" s="29"/>
      <c r="E24" s="29"/>
      <c r="F24" s="29"/>
      <c r="G24" s="29"/>
      <c r="H24" s="29"/>
    </row>
    <row r="25" spans="1:8" x14ac:dyDescent="0.25">
      <c r="A25" s="29"/>
      <c r="B25" s="29"/>
      <c r="C25" s="29"/>
      <c r="D25" s="29"/>
      <c r="E25" s="29"/>
      <c r="F25" s="29"/>
      <c r="G25" s="29"/>
      <c r="H25" s="29"/>
    </row>
    <row r="26" spans="1:8" x14ac:dyDescent="0.25">
      <c r="A26" s="29"/>
      <c r="B26" s="29"/>
      <c r="C26" s="29"/>
      <c r="D26" s="29"/>
      <c r="E26" s="29"/>
      <c r="F26" s="29"/>
      <c r="G26" s="29"/>
      <c r="H26" s="29"/>
    </row>
  </sheetData>
  <autoFilter ref="A5:H11"/>
  <mergeCells count="5">
    <mergeCell ref="A1:H1"/>
    <mergeCell ref="A2:H2"/>
    <mergeCell ref="A3:H3"/>
    <mergeCell ref="A18:H21"/>
    <mergeCell ref="A24:H26"/>
  </mergeCells>
  <conditionalFormatting sqref="F6:F11">
    <cfRule type="cellIs" dxfId="3" priority="1" operator="equal">
      <formula>"OK"</formula>
    </cfRule>
    <cfRule type="cellIs" dxfId="4" priority="2" operator="equal">
      <formula>"NOK"</formula>
    </cfRule>
    <cfRule type="cellIs" dxfId="5" priority="3" operator="equal">
      <formula>"blockiert"</formula>
    </cfRule>
  </conditionalFormatting>
  <dataValidations count="2">
    <dataValidation type="list" allowBlank="1" showErrorMessage="1" errorTitle="Nur diese vier Werte" error="Bitte OK, NOK, blockiert oder offen waehlen." sqref="F10:F11">
      <formula1>"OK,NOK,blockiert,offen"</formula1>
    </dataValidation>
    <dataValidation type="list" allowBlank="1" showErrorMessage="1" errorTitle="Nur diese vier Werte" error="Bitte OK, NOK, blockiert oder offen waehlen." sqref="F6:F11">
      <formula1>"OK,NOK,blockiert,offen"</formula1>
    </dataValidation>
  </dataValidations>
  <pageMargins left="0.3" right="0.3" top="0.4" bottom="0.4" header="0.2" footer="0.2"/>
  <pageSetup paperSize="9" orientation="landscape" fitToWidth="1" fitToHeight="0"/>
  <headerFooter>
    <oddFooter>&amp;LDamicon Testfaelle - Rolle: Betriebsleitung&amp;RSeite &amp;P von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workbookViewId="0">
      <pane xSplit="1" ySplit="5" topLeftCell="B6" activePane="bottomRight" state="frozen"/>
      <selection pane="bottomRight"/>
    </sheetView>
  </sheetViews>
  <sheetFormatPr defaultRowHeight="15" outlineLevelRow="0" outlineLevelCol="0" x14ac:dyDescent="55"/>
  <cols>
    <col min="1" max="1" width="10" customWidth="1"/>
    <col min="2" max="2" width="30" customWidth="1"/>
    <col min="3" max="3" width="46" customWidth="1"/>
    <col min="4" max="4" width="38" customWidth="1"/>
    <col min="5" max="5" width="52" customWidth="1"/>
    <col min="6" max="6" width="14" customWidth="1"/>
    <col min="7" max="7" width="38" customWidth="1"/>
    <col min="8" max="8" width="16" customWidth="1"/>
  </cols>
  <sheetData>
    <row r="1" ht="26" customHeight="1" spans="1:8" x14ac:dyDescent="0.25">
      <c r="A1" s="12" t="s">
        <v>157</v>
      </c>
      <c r="B1" s="12"/>
      <c r="C1" s="12"/>
      <c r="D1" s="12"/>
      <c r="E1" s="12"/>
      <c r="F1" s="12"/>
      <c r="G1" s="12"/>
      <c r="H1" s="12"/>
    </row>
    <row r="2" spans="1:8" x14ac:dyDescent="0.25">
      <c r="A2" s="13" t="s">
        <v>158</v>
      </c>
      <c r="B2" s="13"/>
      <c r="C2" s="13"/>
      <c r="D2" s="13"/>
      <c r="E2" s="13"/>
      <c r="F2" s="13"/>
      <c r="G2" s="13"/>
      <c r="H2" s="13"/>
    </row>
    <row r="3" ht="313" customHeight="1" spans="1:8" x14ac:dyDescent="0.25">
      <c r="A3" s="14" t="s">
        <v>159</v>
      </c>
      <c r="B3" s="14"/>
      <c r="C3" s="14"/>
      <c r="D3" s="14"/>
      <c r="E3" s="14"/>
      <c r="F3" s="14"/>
      <c r="G3" s="14"/>
      <c r="H3" s="14"/>
    </row>
    <row r="4" ht="6" customHeight="1" x14ac:dyDescent="0.25"/>
    <row r="5" ht="22" customHeight="1" spans="1:8" x14ac:dyDescent="0.25">
      <c r="A5" s="15" t="s">
        <v>73</v>
      </c>
      <c r="B5" s="15" t="s">
        <v>74</v>
      </c>
      <c r="C5" s="15" t="s">
        <v>75</v>
      </c>
      <c r="D5" s="15" t="s">
        <v>76</v>
      </c>
      <c r="E5" s="15" t="s">
        <v>77</v>
      </c>
      <c r="F5" s="16" t="s">
        <v>78</v>
      </c>
      <c r="G5" s="16" t="s">
        <v>79</v>
      </c>
      <c r="H5" s="16" t="s">
        <v>80</v>
      </c>
    </row>
    <row r="6" ht="84" customHeight="1" spans="1:8" x14ac:dyDescent="0.25">
      <c r="A6" s="17" t="s">
        <v>160</v>
      </c>
      <c r="B6" s="18" t="s">
        <v>161</v>
      </c>
      <c r="C6" s="18" t="s">
        <v>162</v>
      </c>
      <c r="D6" s="18" t="s">
        <v>163</v>
      </c>
      <c r="E6" s="18" t="s">
        <v>164</v>
      </c>
      <c r="F6" s="19" t="s">
        <v>1</v>
      </c>
      <c r="G6" s="20" t="s">
        <v>1</v>
      </c>
      <c r="H6" s="20" t="s">
        <v>1</v>
      </c>
    </row>
    <row r="7" ht="71" customHeight="1" spans="1:8" x14ac:dyDescent="0.25">
      <c r="A7" s="21" t="s">
        <v>165</v>
      </c>
      <c r="B7" s="22" t="s">
        <v>166</v>
      </c>
      <c r="C7" s="22" t="s">
        <v>167</v>
      </c>
      <c r="D7" s="22" t="s">
        <v>168</v>
      </c>
      <c r="E7" s="22" t="s">
        <v>169</v>
      </c>
      <c r="F7" s="19" t="s">
        <v>1</v>
      </c>
      <c r="G7" s="20" t="s">
        <v>1</v>
      </c>
      <c r="H7" s="20" t="s">
        <v>1</v>
      </c>
    </row>
    <row r="8" ht="123" customHeight="1" spans="1:8" x14ac:dyDescent="0.25">
      <c r="A8" s="17" t="s">
        <v>170</v>
      </c>
      <c r="B8" s="18" t="s">
        <v>171</v>
      </c>
      <c r="C8" s="18" t="s">
        <v>172</v>
      </c>
      <c r="D8" s="18" t="s">
        <v>173</v>
      </c>
      <c r="E8" s="18" t="s">
        <v>174</v>
      </c>
      <c r="F8" s="19" t="s">
        <v>1</v>
      </c>
      <c r="G8" s="20" t="s">
        <v>1</v>
      </c>
      <c r="H8" s="20" t="s">
        <v>1</v>
      </c>
    </row>
    <row r="9" ht="71" customHeight="1" spans="1:8" x14ac:dyDescent="0.25">
      <c r="A9" s="21" t="s">
        <v>175</v>
      </c>
      <c r="B9" s="22" t="s">
        <v>176</v>
      </c>
      <c r="C9" s="22" t="s">
        <v>177</v>
      </c>
      <c r="D9" s="22" t="s">
        <v>84</v>
      </c>
      <c r="E9" s="22" t="s">
        <v>178</v>
      </c>
      <c r="F9" s="19" t="s">
        <v>1</v>
      </c>
      <c r="G9" s="20" t="s">
        <v>1</v>
      </c>
      <c r="H9" s="20" t="s">
        <v>1</v>
      </c>
    </row>
    <row r="10" ht="84" customHeight="1" spans="1:8" x14ac:dyDescent="0.25">
      <c r="A10" s="17" t="s">
        <v>179</v>
      </c>
      <c r="B10" s="18" t="s">
        <v>180</v>
      </c>
      <c r="C10" s="18" t="s">
        <v>181</v>
      </c>
      <c r="D10" s="18" t="s">
        <v>182</v>
      </c>
      <c r="E10" s="18" t="s">
        <v>183</v>
      </c>
      <c r="F10" s="19" t="s">
        <v>1</v>
      </c>
      <c r="G10" s="20" t="s">
        <v>1</v>
      </c>
      <c r="H10" s="20" t="s">
        <v>1</v>
      </c>
    </row>
    <row r="11" ht="84" customHeight="1" spans="1:8" x14ac:dyDescent="0.25">
      <c r="A11" s="21" t="s">
        <v>184</v>
      </c>
      <c r="B11" s="22" t="s">
        <v>185</v>
      </c>
      <c r="C11" s="22" t="s">
        <v>186</v>
      </c>
      <c r="D11" s="22" t="s">
        <v>187</v>
      </c>
      <c r="E11" s="22" t="s">
        <v>188</v>
      </c>
      <c r="F11" s="19" t="s">
        <v>1</v>
      </c>
      <c r="G11" s="20" t="s">
        <v>1</v>
      </c>
      <c r="H11" s="20" t="s">
        <v>1</v>
      </c>
    </row>
    <row r="12" ht="84" customHeight="1" spans="1:8" x14ac:dyDescent="0.25">
      <c r="A12" s="17" t="s">
        <v>189</v>
      </c>
      <c r="B12" s="18" t="s">
        <v>190</v>
      </c>
      <c r="C12" s="18" t="s">
        <v>191</v>
      </c>
      <c r="D12" s="18" t="s">
        <v>192</v>
      </c>
      <c r="E12" s="18" t="s">
        <v>193</v>
      </c>
      <c r="F12" s="19" t="s">
        <v>1</v>
      </c>
      <c r="G12" s="20" t="s">
        <v>1</v>
      </c>
      <c r="H12" s="20" t="s">
        <v>1</v>
      </c>
    </row>
    <row r="14" spans="5:7" x14ac:dyDescent="0.25">
      <c r="E14" s="23" t="s">
        <v>116</v>
      </c>
      <c r="F14" s="24">
        <f>COUNTIF(F6:F12,"OK")</f>
      </c>
      <c r="G14" s="25" t="s">
        <v>117</v>
      </c>
    </row>
    <row r="15" spans="6:7" x14ac:dyDescent="0.25">
      <c r="F15" s="26">
        <f>COUNTIF(F6:F12,"NOK")</f>
      </c>
      <c r="G15" s="25" t="s">
        <v>118</v>
      </c>
    </row>
    <row r="16" spans="6:7" x14ac:dyDescent="0.25">
      <c r="F16" s="27">
        <f>COUNTIF(F6:F12,"blockiert")</f>
      </c>
      <c r="G16" s="25" t="s">
        <v>119</v>
      </c>
    </row>
    <row r="18" spans="1:1" x14ac:dyDescent="0.25">
      <c r="A18" s="28" t="s">
        <v>120</v>
      </c>
    </row>
    <row r="19" spans="1:8" x14ac:dyDescent="0.25">
      <c r="A19" s="29"/>
      <c r="B19" s="29"/>
      <c r="C19" s="29"/>
      <c r="D19" s="29"/>
      <c r="E19" s="29"/>
      <c r="F19" s="29"/>
      <c r="G19" s="29"/>
      <c r="H19" s="29"/>
    </row>
    <row r="20" spans="1:8" x14ac:dyDescent="0.25">
      <c r="A20" s="29"/>
      <c r="B20" s="29"/>
      <c r="C20" s="29"/>
      <c r="D20" s="29"/>
      <c r="E20" s="29"/>
      <c r="F20" s="29"/>
      <c r="G20" s="29"/>
      <c r="H20" s="29"/>
    </row>
    <row r="21" spans="1:8" x14ac:dyDescent="0.25">
      <c r="A21" s="29"/>
      <c r="B21" s="29"/>
      <c r="C21" s="29"/>
      <c r="D21" s="29"/>
      <c r="E21" s="29"/>
      <c r="F21" s="29"/>
      <c r="G21" s="29"/>
      <c r="H21" s="29"/>
    </row>
    <row r="22" spans="1:8" x14ac:dyDescent="0.25">
      <c r="A22" s="29"/>
      <c r="B22" s="29"/>
      <c r="C22" s="29"/>
      <c r="D22" s="29"/>
      <c r="E22" s="29"/>
      <c r="F22" s="29"/>
      <c r="G22" s="29"/>
      <c r="H22" s="29"/>
    </row>
    <row r="24" spans="1:1" x14ac:dyDescent="0.25">
      <c r="A24" s="28" t="s">
        <v>121</v>
      </c>
    </row>
    <row r="25" spans="1:8" x14ac:dyDescent="0.25">
      <c r="A25" s="29"/>
      <c r="B25" s="29"/>
      <c r="C25" s="29"/>
      <c r="D25" s="29"/>
      <c r="E25" s="29"/>
      <c r="F25" s="29"/>
      <c r="G25" s="29"/>
      <c r="H25" s="29"/>
    </row>
    <row r="26" spans="1:8" x14ac:dyDescent="0.25">
      <c r="A26" s="29"/>
      <c r="B26" s="29"/>
      <c r="C26" s="29"/>
      <c r="D26" s="29"/>
      <c r="E26" s="29"/>
      <c r="F26" s="29"/>
      <c r="G26" s="29"/>
      <c r="H26" s="29"/>
    </row>
    <row r="27" spans="1:8" x14ac:dyDescent="0.25">
      <c r="A27" s="29"/>
      <c r="B27" s="29"/>
      <c r="C27" s="29"/>
      <c r="D27" s="29"/>
      <c r="E27" s="29"/>
      <c r="F27" s="29"/>
      <c r="G27" s="29"/>
      <c r="H27" s="29"/>
    </row>
  </sheetData>
  <autoFilter ref="A5:H12"/>
  <mergeCells count="5">
    <mergeCell ref="A1:H1"/>
    <mergeCell ref="A2:H2"/>
    <mergeCell ref="A3:H3"/>
    <mergeCell ref="A19:H22"/>
    <mergeCell ref="A25:H27"/>
  </mergeCells>
  <conditionalFormatting sqref="F6:F12">
    <cfRule type="cellIs" dxfId="6" priority="1" operator="equal">
      <formula>"OK"</formula>
    </cfRule>
    <cfRule type="cellIs" dxfId="7" priority="2" operator="equal">
      <formula>"NOK"</formula>
    </cfRule>
    <cfRule type="cellIs" dxfId="8" priority="3" operator="equal">
      <formula>"blockiert"</formula>
    </cfRule>
  </conditionalFormatting>
  <dataValidations count="2">
    <dataValidation type="list" allowBlank="1" showErrorMessage="1" errorTitle="Nur diese vier Werte" error="Bitte OK, NOK, blockiert oder offen waehlen." sqref="F10:F12">
      <formula1>"OK,NOK,blockiert,offen"</formula1>
    </dataValidation>
    <dataValidation type="list" allowBlank="1" showErrorMessage="1" errorTitle="Nur diese vier Werte" error="Bitte OK, NOK, blockiert oder offen waehlen." sqref="F6:F12">
      <formula1>"OK,NOK,blockiert,offen"</formula1>
    </dataValidation>
  </dataValidations>
  <pageMargins left="0.3" right="0.3" top="0.4" bottom="0.4" header="0.2" footer="0.2"/>
  <pageSetup paperSize="9" orientation="landscape" fitToWidth="1" fitToHeight="0"/>
  <headerFooter>
    <oddFooter>&amp;LDamicon Testfaelle - Rolle: Buchhaltung&amp;RSeite &amp;P von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6"/>
  <sheetViews>
    <sheetView workbookViewId="0">
      <pane xSplit="1" ySplit="5" topLeftCell="B6" activePane="bottomRight" state="frozen"/>
      <selection pane="bottomRight"/>
    </sheetView>
  </sheetViews>
  <sheetFormatPr defaultRowHeight="15" outlineLevelRow="0" outlineLevelCol="0" x14ac:dyDescent="55"/>
  <cols>
    <col min="1" max="1" width="10" customWidth="1"/>
    <col min="2" max="2" width="30" customWidth="1"/>
    <col min="3" max="3" width="46" customWidth="1"/>
    <col min="4" max="4" width="38" customWidth="1"/>
    <col min="5" max="5" width="52" customWidth="1"/>
    <col min="6" max="6" width="14" customWidth="1"/>
    <col min="7" max="7" width="38" customWidth="1"/>
    <col min="8" max="8" width="16" customWidth="1"/>
  </cols>
  <sheetData>
    <row r="1" ht="26" customHeight="1" spans="1:8" x14ac:dyDescent="0.25">
      <c r="A1" s="12" t="s">
        <v>194</v>
      </c>
      <c r="B1" s="12"/>
      <c r="C1" s="12"/>
      <c r="D1" s="12"/>
      <c r="E1" s="12"/>
      <c r="F1" s="12"/>
      <c r="G1" s="12"/>
      <c r="H1" s="12"/>
    </row>
    <row r="2" spans="1:8" x14ac:dyDescent="0.25">
      <c r="A2" s="13" t="s">
        <v>195</v>
      </c>
      <c r="B2" s="13"/>
      <c r="C2" s="13"/>
      <c r="D2" s="13"/>
      <c r="E2" s="13"/>
      <c r="F2" s="13"/>
      <c r="G2" s="13"/>
      <c r="H2" s="13"/>
    </row>
    <row r="3" ht="328" customHeight="1" spans="1:8" x14ac:dyDescent="0.25">
      <c r="A3" s="14" t="s">
        <v>196</v>
      </c>
      <c r="B3" s="14"/>
      <c r="C3" s="14"/>
      <c r="D3" s="14"/>
      <c r="E3" s="14"/>
      <c r="F3" s="14"/>
      <c r="G3" s="14"/>
      <c r="H3" s="14"/>
    </row>
    <row r="4" ht="6" customHeight="1" x14ac:dyDescent="0.25"/>
    <row r="5" ht="22" customHeight="1" spans="1:8" x14ac:dyDescent="0.25">
      <c r="A5" s="15" t="s">
        <v>73</v>
      </c>
      <c r="B5" s="15" t="s">
        <v>74</v>
      </c>
      <c r="C5" s="15" t="s">
        <v>75</v>
      </c>
      <c r="D5" s="15" t="s">
        <v>76</v>
      </c>
      <c r="E5" s="15" t="s">
        <v>77</v>
      </c>
      <c r="F5" s="16" t="s">
        <v>78</v>
      </c>
      <c r="G5" s="16" t="s">
        <v>79</v>
      </c>
      <c r="H5" s="16" t="s">
        <v>80</v>
      </c>
    </row>
    <row r="6" ht="71" customHeight="1" spans="1:8" x14ac:dyDescent="0.25">
      <c r="A6" s="17" t="s">
        <v>197</v>
      </c>
      <c r="B6" s="18" t="s">
        <v>198</v>
      </c>
      <c r="C6" s="18" t="s">
        <v>199</v>
      </c>
      <c r="D6" s="18" t="s">
        <v>84</v>
      </c>
      <c r="E6" s="18" t="s">
        <v>200</v>
      </c>
      <c r="F6" s="19" t="s">
        <v>1</v>
      </c>
      <c r="G6" s="20" t="s">
        <v>1</v>
      </c>
      <c r="H6" s="20" t="s">
        <v>1</v>
      </c>
    </row>
    <row r="7" ht="58" customHeight="1" spans="1:8" x14ac:dyDescent="0.25">
      <c r="A7" s="21" t="s">
        <v>201</v>
      </c>
      <c r="B7" s="22" t="s">
        <v>202</v>
      </c>
      <c r="C7" s="22" t="s">
        <v>203</v>
      </c>
      <c r="D7" s="22" t="s">
        <v>204</v>
      </c>
      <c r="E7" s="22" t="s">
        <v>205</v>
      </c>
      <c r="F7" s="19" t="s">
        <v>1</v>
      </c>
      <c r="G7" s="20" t="s">
        <v>1</v>
      </c>
      <c r="H7" s="20" t="s">
        <v>1</v>
      </c>
    </row>
    <row r="8" ht="58" customHeight="1" spans="1:8" x14ac:dyDescent="0.25">
      <c r="A8" s="17" t="s">
        <v>206</v>
      </c>
      <c r="B8" s="18" t="s">
        <v>207</v>
      </c>
      <c r="C8" s="18" t="s">
        <v>208</v>
      </c>
      <c r="D8" s="18" t="s">
        <v>209</v>
      </c>
      <c r="E8" s="18" t="s">
        <v>210</v>
      </c>
      <c r="F8" s="19" t="s">
        <v>1</v>
      </c>
      <c r="G8" s="20" t="s">
        <v>1</v>
      </c>
      <c r="H8" s="20" t="s">
        <v>1</v>
      </c>
    </row>
    <row r="9" ht="45" customHeight="1" spans="1:8" x14ac:dyDescent="0.25">
      <c r="A9" s="21" t="s">
        <v>211</v>
      </c>
      <c r="B9" s="22" t="s">
        <v>212</v>
      </c>
      <c r="C9" s="22" t="s">
        <v>213</v>
      </c>
      <c r="D9" s="22" t="s">
        <v>214</v>
      </c>
      <c r="E9" s="22" t="s">
        <v>215</v>
      </c>
      <c r="F9" s="19" t="s">
        <v>1</v>
      </c>
      <c r="G9" s="20" t="s">
        <v>1</v>
      </c>
      <c r="H9" s="20" t="s">
        <v>1</v>
      </c>
    </row>
    <row r="10" ht="58" customHeight="1" spans="1:8" x14ac:dyDescent="0.25">
      <c r="A10" s="17" t="s">
        <v>216</v>
      </c>
      <c r="B10" s="18" t="s">
        <v>217</v>
      </c>
      <c r="C10" s="18" t="s">
        <v>218</v>
      </c>
      <c r="D10" s="18" t="s">
        <v>84</v>
      </c>
      <c r="E10" s="18" t="s">
        <v>219</v>
      </c>
      <c r="F10" s="19" t="s">
        <v>1</v>
      </c>
      <c r="G10" s="20" t="s">
        <v>1</v>
      </c>
      <c r="H10" s="20" t="s">
        <v>1</v>
      </c>
    </row>
    <row r="11" ht="58" customHeight="1" spans="1:8" x14ac:dyDescent="0.25">
      <c r="A11" s="21" t="s">
        <v>220</v>
      </c>
      <c r="B11" s="22" t="s">
        <v>221</v>
      </c>
      <c r="C11" s="22" t="s">
        <v>222</v>
      </c>
      <c r="D11" s="22" t="s">
        <v>192</v>
      </c>
      <c r="E11" s="22" t="s">
        <v>223</v>
      </c>
      <c r="F11" s="19" t="s">
        <v>1</v>
      </c>
      <c r="G11" s="20" t="s">
        <v>1</v>
      </c>
      <c r="H11" s="20" t="s">
        <v>1</v>
      </c>
    </row>
    <row r="13" spans="5:7" x14ac:dyDescent="0.25">
      <c r="E13" s="23" t="s">
        <v>116</v>
      </c>
      <c r="F13" s="24">
        <f>COUNTIF(F6:F11,"OK")</f>
      </c>
      <c r="G13" s="25" t="s">
        <v>154</v>
      </c>
    </row>
    <row r="14" spans="6:7" x14ac:dyDescent="0.25">
      <c r="F14" s="26">
        <f>COUNTIF(F6:F11,"NOK")</f>
      </c>
      <c r="G14" s="25" t="s">
        <v>155</v>
      </c>
    </row>
    <row r="15" spans="6:7" x14ac:dyDescent="0.25">
      <c r="F15" s="27">
        <f>COUNTIF(F6:F11,"blockiert")</f>
      </c>
      <c r="G15" s="25" t="s">
        <v>156</v>
      </c>
    </row>
    <row r="17" spans="1:1" x14ac:dyDescent="0.25">
      <c r="A17" s="28" t="s">
        <v>120</v>
      </c>
    </row>
    <row r="18" spans="1:8" x14ac:dyDescent="0.25">
      <c r="A18" s="29"/>
      <c r="B18" s="29"/>
      <c r="C18" s="29"/>
      <c r="D18" s="29"/>
      <c r="E18" s="29"/>
      <c r="F18" s="29"/>
      <c r="G18" s="29"/>
      <c r="H18" s="29"/>
    </row>
    <row r="19" spans="1:8" x14ac:dyDescent="0.25">
      <c r="A19" s="29"/>
      <c r="B19" s="29"/>
      <c r="C19" s="29"/>
      <c r="D19" s="29"/>
      <c r="E19" s="29"/>
      <c r="F19" s="29"/>
      <c r="G19" s="29"/>
      <c r="H19" s="29"/>
    </row>
    <row r="20" spans="1:8" x14ac:dyDescent="0.25">
      <c r="A20" s="29"/>
      <c r="B20" s="29"/>
      <c r="C20" s="29"/>
      <c r="D20" s="29"/>
      <c r="E20" s="29"/>
      <c r="F20" s="29"/>
      <c r="G20" s="29"/>
      <c r="H20" s="29"/>
    </row>
    <row r="21" spans="1:8" x14ac:dyDescent="0.25">
      <c r="A21" s="29"/>
      <c r="B21" s="29"/>
      <c r="C21" s="29"/>
      <c r="D21" s="29"/>
      <c r="E21" s="29"/>
      <c r="F21" s="29"/>
      <c r="G21" s="29"/>
      <c r="H21" s="29"/>
    </row>
    <row r="23" spans="1:1" x14ac:dyDescent="0.25">
      <c r="A23" s="28" t="s">
        <v>121</v>
      </c>
    </row>
    <row r="24" spans="1:8" x14ac:dyDescent="0.25">
      <c r="A24" s="29"/>
      <c r="B24" s="29"/>
      <c r="C24" s="29"/>
      <c r="D24" s="29"/>
      <c r="E24" s="29"/>
      <c r="F24" s="29"/>
      <c r="G24" s="29"/>
      <c r="H24" s="29"/>
    </row>
    <row r="25" spans="1:8" x14ac:dyDescent="0.25">
      <c r="A25" s="29"/>
      <c r="B25" s="29"/>
      <c r="C25" s="29"/>
      <c r="D25" s="29"/>
      <c r="E25" s="29"/>
      <c r="F25" s="29"/>
      <c r="G25" s="29"/>
      <c r="H25" s="29"/>
    </row>
    <row r="26" spans="1:8" x14ac:dyDescent="0.25">
      <c r="A26" s="29"/>
      <c r="B26" s="29"/>
      <c r="C26" s="29"/>
      <c r="D26" s="29"/>
      <c r="E26" s="29"/>
      <c r="F26" s="29"/>
      <c r="G26" s="29"/>
      <c r="H26" s="29"/>
    </row>
  </sheetData>
  <autoFilter ref="A5:H11"/>
  <mergeCells count="5">
    <mergeCell ref="A1:H1"/>
    <mergeCell ref="A2:H2"/>
    <mergeCell ref="A3:H3"/>
    <mergeCell ref="A18:H21"/>
    <mergeCell ref="A24:H26"/>
  </mergeCells>
  <conditionalFormatting sqref="F6:F11">
    <cfRule type="cellIs" dxfId="9" priority="1" operator="equal">
      <formula>"OK"</formula>
    </cfRule>
    <cfRule type="cellIs" dxfId="10" priority="2" operator="equal">
      <formula>"NOK"</formula>
    </cfRule>
    <cfRule type="cellIs" dxfId="11" priority="3" operator="equal">
      <formula>"blockiert"</formula>
    </cfRule>
  </conditionalFormatting>
  <dataValidations count="2">
    <dataValidation type="list" allowBlank="1" showErrorMessage="1" errorTitle="Nur diese vier Werte" error="Bitte OK, NOK, blockiert oder offen waehlen." sqref="F10:F11">
      <formula1>"OK,NOK,blockiert,offen"</formula1>
    </dataValidation>
    <dataValidation type="list" allowBlank="1" showErrorMessage="1" errorTitle="Nur diese vier Werte" error="Bitte OK, NOK, blockiert oder offen waehlen." sqref="F6:F11">
      <formula1>"OK,NOK,blockiert,offen"</formula1>
    </dataValidation>
  </dataValidations>
  <pageMargins left="0.3" right="0.3" top="0.4" bottom="0.4" header="0.2" footer="0.2"/>
  <pageSetup paperSize="9" orientation="landscape" fitToWidth="1" fitToHeight="0"/>
  <headerFooter>
    <oddFooter>&amp;LDamicon Testfaelle - Rolle: Brigade&amp;RSeite &amp;P von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workbookViewId="0">
      <pane xSplit="1" ySplit="5" topLeftCell="B6" activePane="bottomRight" state="frozen"/>
      <selection pane="bottomRight"/>
    </sheetView>
  </sheetViews>
  <sheetFormatPr defaultRowHeight="15" outlineLevelRow="0" outlineLevelCol="0" x14ac:dyDescent="55"/>
  <cols>
    <col min="1" max="1" width="10" customWidth="1"/>
    <col min="2" max="2" width="30" customWidth="1"/>
    <col min="3" max="3" width="46" customWidth="1"/>
    <col min="4" max="4" width="38" customWidth="1"/>
    <col min="5" max="5" width="52" customWidth="1"/>
    <col min="6" max="6" width="14" customWidth="1"/>
    <col min="7" max="7" width="38" customWidth="1"/>
    <col min="8" max="8" width="16" customWidth="1"/>
  </cols>
  <sheetData>
    <row r="1" ht="26" customHeight="1" spans="1:8" x14ac:dyDescent="0.25">
      <c r="A1" s="12" t="s">
        <v>224</v>
      </c>
      <c r="B1" s="12"/>
      <c r="C1" s="12"/>
      <c r="D1" s="12"/>
      <c r="E1" s="12"/>
      <c r="F1" s="12"/>
      <c r="G1" s="12"/>
      <c r="H1" s="12"/>
    </row>
    <row r="2" spans="1:8" x14ac:dyDescent="0.25">
      <c r="A2" s="13" t="s">
        <v>225</v>
      </c>
      <c r="B2" s="13"/>
      <c r="C2" s="13"/>
      <c r="D2" s="13"/>
      <c r="E2" s="13"/>
      <c r="F2" s="13"/>
      <c r="G2" s="13"/>
      <c r="H2" s="13"/>
    </row>
    <row r="3" ht="328" customHeight="1" spans="1:8" x14ac:dyDescent="0.25">
      <c r="A3" s="14" t="s">
        <v>226</v>
      </c>
      <c r="B3" s="14"/>
      <c r="C3" s="14"/>
      <c r="D3" s="14"/>
      <c r="E3" s="14"/>
      <c r="F3" s="14"/>
      <c r="G3" s="14"/>
      <c r="H3" s="14"/>
    </row>
    <row r="4" ht="6" customHeight="1" x14ac:dyDescent="0.25"/>
    <row r="5" ht="22" customHeight="1" spans="1:8" x14ac:dyDescent="0.25">
      <c r="A5" s="15" t="s">
        <v>73</v>
      </c>
      <c r="B5" s="15" t="s">
        <v>74</v>
      </c>
      <c r="C5" s="15" t="s">
        <v>75</v>
      </c>
      <c r="D5" s="15" t="s">
        <v>76</v>
      </c>
      <c r="E5" s="15" t="s">
        <v>77</v>
      </c>
      <c r="F5" s="16" t="s">
        <v>78</v>
      </c>
      <c r="G5" s="16" t="s">
        <v>79</v>
      </c>
      <c r="H5" s="16" t="s">
        <v>80</v>
      </c>
    </row>
    <row r="6" ht="45" customHeight="1" spans="1:8" x14ac:dyDescent="0.25">
      <c r="A6" s="17" t="s">
        <v>227</v>
      </c>
      <c r="B6" s="18" t="s">
        <v>228</v>
      </c>
      <c r="C6" s="18" t="s">
        <v>229</v>
      </c>
      <c r="D6" s="18" t="s">
        <v>84</v>
      </c>
      <c r="E6" s="18" t="s">
        <v>230</v>
      </c>
      <c r="F6" s="19" t="s">
        <v>1</v>
      </c>
      <c r="G6" s="20" t="s">
        <v>1</v>
      </c>
      <c r="H6" s="20" t="s">
        <v>1</v>
      </c>
    </row>
    <row r="7" ht="58" customHeight="1" spans="1:8" x14ac:dyDescent="0.25">
      <c r="A7" s="21" t="s">
        <v>231</v>
      </c>
      <c r="B7" s="22" t="s">
        <v>232</v>
      </c>
      <c r="C7" s="22" t="s">
        <v>233</v>
      </c>
      <c r="D7" s="22" t="s">
        <v>84</v>
      </c>
      <c r="E7" s="22" t="s">
        <v>234</v>
      </c>
      <c r="F7" s="19" t="s">
        <v>1</v>
      </c>
      <c r="G7" s="20" t="s">
        <v>1</v>
      </c>
      <c r="H7" s="20" t="s">
        <v>1</v>
      </c>
    </row>
    <row r="8" ht="84" customHeight="1" spans="1:8" x14ac:dyDescent="0.25">
      <c r="A8" s="17" t="s">
        <v>235</v>
      </c>
      <c r="B8" s="18" t="s">
        <v>236</v>
      </c>
      <c r="C8" s="18" t="s">
        <v>237</v>
      </c>
      <c r="D8" s="18" t="s">
        <v>238</v>
      </c>
      <c r="E8" s="18" t="s">
        <v>239</v>
      </c>
      <c r="F8" s="19" t="s">
        <v>1</v>
      </c>
      <c r="G8" s="20" t="s">
        <v>1</v>
      </c>
      <c r="H8" s="20" t="s">
        <v>1</v>
      </c>
    </row>
    <row r="9" ht="58" customHeight="1" spans="1:8" x14ac:dyDescent="0.25">
      <c r="A9" s="21" t="s">
        <v>240</v>
      </c>
      <c r="B9" s="22" t="s">
        <v>241</v>
      </c>
      <c r="C9" s="22" t="s">
        <v>242</v>
      </c>
      <c r="D9" s="22" t="s">
        <v>243</v>
      </c>
      <c r="E9" s="22" t="s">
        <v>244</v>
      </c>
      <c r="F9" s="19" t="s">
        <v>1</v>
      </c>
      <c r="G9" s="20" t="s">
        <v>1</v>
      </c>
      <c r="H9" s="20" t="s">
        <v>1</v>
      </c>
    </row>
    <row r="10" ht="58" customHeight="1" spans="1:8" x14ac:dyDescent="0.25">
      <c r="A10" s="17" t="s">
        <v>245</v>
      </c>
      <c r="B10" s="18" t="s">
        <v>246</v>
      </c>
      <c r="C10" s="18" t="s">
        <v>247</v>
      </c>
      <c r="D10" s="18" t="s">
        <v>248</v>
      </c>
      <c r="E10" s="18" t="s">
        <v>249</v>
      </c>
      <c r="F10" s="19" t="s">
        <v>1</v>
      </c>
      <c r="G10" s="20" t="s">
        <v>1</v>
      </c>
      <c r="H10" s="20" t="s">
        <v>1</v>
      </c>
    </row>
    <row r="12" spans="5:7" x14ac:dyDescent="0.25">
      <c r="E12" s="23" t="s">
        <v>116</v>
      </c>
      <c r="F12" s="24">
        <f>COUNTIF(F6:F10,"OK")</f>
      </c>
      <c r="G12" s="25" t="s">
        <v>250</v>
      </c>
    </row>
    <row r="13" spans="6:7" x14ac:dyDescent="0.25">
      <c r="F13" s="26">
        <f>COUNTIF(F6:F10,"NOK")</f>
      </c>
      <c r="G13" s="25" t="s">
        <v>251</v>
      </c>
    </row>
    <row r="14" spans="6:7" x14ac:dyDescent="0.25">
      <c r="F14" s="27">
        <f>COUNTIF(F6:F10,"blockiert")</f>
      </c>
      <c r="G14" s="25" t="s">
        <v>252</v>
      </c>
    </row>
    <row r="16" spans="1:1" x14ac:dyDescent="0.25">
      <c r="A16" s="28" t="s">
        <v>120</v>
      </c>
    </row>
    <row r="17" spans="1:8" x14ac:dyDescent="0.25">
      <c r="A17" s="29"/>
      <c r="B17" s="29"/>
      <c r="C17" s="29"/>
      <c r="D17" s="29"/>
      <c r="E17" s="29"/>
      <c r="F17" s="29"/>
      <c r="G17" s="29"/>
      <c r="H17" s="29"/>
    </row>
    <row r="18" spans="1:8" x14ac:dyDescent="0.25">
      <c r="A18" s="29"/>
      <c r="B18" s="29"/>
      <c r="C18" s="29"/>
      <c r="D18" s="29"/>
      <c r="E18" s="29"/>
      <c r="F18" s="29"/>
      <c r="G18" s="29"/>
      <c r="H18" s="29"/>
    </row>
    <row r="19" spans="1:8" x14ac:dyDescent="0.25">
      <c r="A19" s="29"/>
      <c r="B19" s="29"/>
      <c r="C19" s="29"/>
      <c r="D19" s="29"/>
      <c r="E19" s="29"/>
      <c r="F19" s="29"/>
      <c r="G19" s="29"/>
      <c r="H19" s="29"/>
    </row>
    <row r="20" spans="1:8" x14ac:dyDescent="0.25">
      <c r="A20" s="29"/>
      <c r="B20" s="29"/>
      <c r="C20" s="29"/>
      <c r="D20" s="29"/>
      <c r="E20" s="29"/>
      <c r="F20" s="29"/>
      <c r="G20" s="29"/>
      <c r="H20" s="29"/>
    </row>
    <row r="22" spans="1:1" x14ac:dyDescent="0.25">
      <c r="A22" s="28" t="s">
        <v>121</v>
      </c>
    </row>
    <row r="23" spans="1:8" x14ac:dyDescent="0.25">
      <c r="A23" s="29"/>
      <c r="B23" s="29"/>
      <c r="C23" s="29"/>
      <c r="D23" s="29"/>
      <c r="E23" s="29"/>
      <c r="F23" s="29"/>
      <c r="G23" s="29"/>
      <c r="H23" s="29"/>
    </row>
    <row r="24" spans="1:8" x14ac:dyDescent="0.25">
      <c r="A24" s="29"/>
      <c r="B24" s="29"/>
      <c r="C24" s="29"/>
      <c r="D24" s="29"/>
      <c r="E24" s="29"/>
      <c r="F24" s="29"/>
      <c r="G24" s="29"/>
      <c r="H24" s="29"/>
    </row>
    <row r="25" spans="1:8" x14ac:dyDescent="0.25">
      <c r="A25" s="29"/>
      <c r="B25" s="29"/>
      <c r="C25" s="29"/>
      <c r="D25" s="29"/>
      <c r="E25" s="29"/>
      <c r="F25" s="29"/>
      <c r="G25" s="29"/>
      <c r="H25" s="29"/>
    </row>
  </sheetData>
  <autoFilter ref="A5:H10"/>
  <mergeCells count="5">
    <mergeCell ref="A1:H1"/>
    <mergeCell ref="A2:H2"/>
    <mergeCell ref="A3:H3"/>
    <mergeCell ref="A17:H20"/>
    <mergeCell ref="A23:H25"/>
  </mergeCells>
  <conditionalFormatting sqref="F6:F10">
    <cfRule type="cellIs" dxfId="12" priority="1" operator="equal">
      <formula>"OK"</formula>
    </cfRule>
    <cfRule type="cellIs" dxfId="13" priority="2" operator="equal">
      <formula>"NOK"</formula>
    </cfRule>
    <cfRule type="cellIs" dxfId="14" priority="3" operator="equal">
      <formula>"blockiert"</formula>
    </cfRule>
  </conditionalFormatting>
  <dataValidations count="2">
    <dataValidation type="list" allowBlank="1" showErrorMessage="1" errorTitle="Nur diese vier Werte" error="Bitte OK, NOK, blockiert oder offen waehlen." sqref="F10">
      <formula1>"OK,NOK,blockiert,offen"</formula1>
    </dataValidation>
    <dataValidation type="list" allowBlank="1" showErrorMessage="1" errorTitle="Nur diese vier Werte" error="Bitte OK, NOK, blockiert oder offen waehlen." sqref="F6:F10">
      <formula1>"OK,NOK,blockiert,offen"</formula1>
    </dataValidation>
  </dataValidations>
  <pageMargins left="0.3" right="0.3" top="0.4" bottom="0.4" header="0.2" footer="0.2"/>
  <pageSetup paperSize="9" orientation="landscape" fitToWidth="1" fitToHeight="0"/>
  <headerFooter>
    <oddFooter>&amp;LDamicon Testfaelle - Rolle: Pfluecker&amp;RSeite &amp;P von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workbookViewId="0">
      <pane xSplit="1" ySplit="5" topLeftCell="B6" activePane="bottomRight" state="frozen"/>
      <selection pane="bottomRight"/>
    </sheetView>
  </sheetViews>
  <sheetFormatPr defaultRowHeight="15" outlineLevelRow="0" outlineLevelCol="0" x14ac:dyDescent="55"/>
  <cols>
    <col min="1" max="1" width="10" customWidth="1"/>
    <col min="2" max="2" width="30" customWidth="1"/>
    <col min="3" max="3" width="46" customWidth="1"/>
    <col min="4" max="4" width="38" customWidth="1"/>
    <col min="5" max="5" width="52" customWidth="1"/>
    <col min="6" max="6" width="14" customWidth="1"/>
    <col min="7" max="7" width="38" customWidth="1"/>
    <col min="8" max="8" width="16" customWidth="1"/>
  </cols>
  <sheetData>
    <row r="1" ht="26" customHeight="1" spans="1:8" x14ac:dyDescent="0.25">
      <c r="A1" s="12" t="s">
        <v>253</v>
      </c>
      <c r="B1" s="12"/>
      <c r="C1" s="12"/>
      <c r="D1" s="12"/>
      <c r="E1" s="12"/>
      <c r="F1" s="12"/>
      <c r="G1" s="12"/>
      <c r="H1" s="12"/>
    </row>
    <row r="2" spans="1:8" x14ac:dyDescent="0.25">
      <c r="A2" s="13" t="s">
        <v>254</v>
      </c>
      <c r="B2" s="13"/>
      <c r="C2" s="13"/>
      <c r="D2" s="13"/>
      <c r="E2" s="13"/>
      <c r="F2" s="13"/>
      <c r="G2" s="13"/>
      <c r="H2" s="13"/>
    </row>
    <row r="3" ht="274" customHeight="1" spans="1:8" x14ac:dyDescent="0.25">
      <c r="A3" s="14" t="s">
        <v>255</v>
      </c>
      <c r="B3" s="14"/>
      <c r="C3" s="14"/>
      <c r="D3" s="14"/>
      <c r="E3" s="14"/>
      <c r="F3" s="14"/>
      <c r="G3" s="14"/>
      <c r="H3" s="14"/>
    </row>
    <row r="4" ht="6" customHeight="1" x14ac:dyDescent="0.25"/>
    <row r="5" ht="22" customHeight="1" spans="1:8" x14ac:dyDescent="0.25">
      <c r="A5" s="15" t="s">
        <v>73</v>
      </c>
      <c r="B5" s="15" t="s">
        <v>74</v>
      </c>
      <c r="C5" s="15" t="s">
        <v>75</v>
      </c>
      <c r="D5" s="15" t="s">
        <v>76</v>
      </c>
      <c r="E5" s="15" t="s">
        <v>77</v>
      </c>
      <c r="F5" s="16" t="s">
        <v>78</v>
      </c>
      <c r="G5" s="16" t="s">
        <v>79</v>
      </c>
      <c r="H5" s="16" t="s">
        <v>80</v>
      </c>
    </row>
    <row r="6" ht="58" customHeight="1" spans="1:8" x14ac:dyDescent="0.25">
      <c r="A6" s="17" t="s">
        <v>256</v>
      </c>
      <c r="B6" s="18" t="s">
        <v>257</v>
      </c>
      <c r="C6" s="18" t="s">
        <v>258</v>
      </c>
      <c r="D6" s="18" t="s">
        <v>84</v>
      </c>
      <c r="E6" s="18" t="s">
        <v>259</v>
      </c>
      <c r="F6" s="19" t="s">
        <v>1</v>
      </c>
      <c r="G6" s="20" t="s">
        <v>1</v>
      </c>
      <c r="H6" s="20" t="s">
        <v>1</v>
      </c>
    </row>
    <row r="7" ht="45" customHeight="1" spans="1:8" x14ac:dyDescent="0.25">
      <c r="A7" s="21" t="s">
        <v>260</v>
      </c>
      <c r="B7" s="22" t="s">
        <v>261</v>
      </c>
      <c r="C7" s="22" t="s">
        <v>262</v>
      </c>
      <c r="D7" s="22" t="s">
        <v>263</v>
      </c>
      <c r="E7" s="22" t="s">
        <v>264</v>
      </c>
      <c r="F7" s="19" t="s">
        <v>1</v>
      </c>
      <c r="G7" s="20" t="s">
        <v>1</v>
      </c>
      <c r="H7" s="20" t="s">
        <v>1</v>
      </c>
    </row>
    <row r="8" ht="110" customHeight="1" spans="1:8" x14ac:dyDescent="0.25">
      <c r="A8" s="17" t="s">
        <v>265</v>
      </c>
      <c r="B8" s="18" t="s">
        <v>266</v>
      </c>
      <c r="C8" s="18" t="s">
        <v>267</v>
      </c>
      <c r="D8" s="18" t="s">
        <v>268</v>
      </c>
      <c r="E8" s="18" t="s">
        <v>269</v>
      </c>
      <c r="F8" s="19" t="s">
        <v>1</v>
      </c>
      <c r="G8" s="20" t="s">
        <v>1</v>
      </c>
      <c r="H8" s="20" t="s">
        <v>1</v>
      </c>
    </row>
    <row r="9" ht="84" customHeight="1" spans="1:8" x14ac:dyDescent="0.25">
      <c r="A9" s="21" t="s">
        <v>270</v>
      </c>
      <c r="B9" s="22" t="s">
        <v>271</v>
      </c>
      <c r="C9" s="22" t="s">
        <v>272</v>
      </c>
      <c r="D9" s="22" t="s">
        <v>273</v>
      </c>
      <c r="E9" s="22" t="s">
        <v>274</v>
      </c>
      <c r="F9" s="19" t="s">
        <v>1</v>
      </c>
      <c r="G9" s="20" t="s">
        <v>1</v>
      </c>
      <c r="H9" s="20" t="s">
        <v>1</v>
      </c>
    </row>
    <row r="10" ht="58" customHeight="1" spans="1:8" x14ac:dyDescent="0.25">
      <c r="A10" s="17" t="s">
        <v>275</v>
      </c>
      <c r="B10" s="18" t="s">
        <v>276</v>
      </c>
      <c r="C10" s="18" t="s">
        <v>277</v>
      </c>
      <c r="D10" s="18" t="s">
        <v>248</v>
      </c>
      <c r="E10" s="18" t="s">
        <v>278</v>
      </c>
      <c r="F10" s="19" t="s">
        <v>1</v>
      </c>
      <c r="G10" s="20" t="s">
        <v>1</v>
      </c>
      <c r="H10" s="20" t="s">
        <v>1</v>
      </c>
    </row>
    <row r="12" spans="5:7" x14ac:dyDescent="0.25">
      <c r="E12" s="23" t="s">
        <v>116</v>
      </c>
      <c r="F12" s="24">
        <f>COUNTIF(F6:F10,"OK")</f>
      </c>
      <c r="G12" s="25" t="s">
        <v>250</v>
      </c>
    </row>
    <row r="13" spans="6:7" x14ac:dyDescent="0.25">
      <c r="F13" s="26">
        <f>COUNTIF(F6:F10,"NOK")</f>
      </c>
      <c r="G13" s="25" t="s">
        <v>251</v>
      </c>
    </row>
    <row r="14" spans="6:7" x14ac:dyDescent="0.25">
      <c r="F14" s="27">
        <f>COUNTIF(F6:F10,"blockiert")</f>
      </c>
      <c r="G14" s="25" t="s">
        <v>252</v>
      </c>
    </row>
    <row r="16" spans="1:1" x14ac:dyDescent="0.25">
      <c r="A16" s="28" t="s">
        <v>120</v>
      </c>
    </row>
    <row r="17" spans="1:8" x14ac:dyDescent="0.25">
      <c r="A17" s="29"/>
      <c r="B17" s="29"/>
      <c r="C17" s="29"/>
      <c r="D17" s="29"/>
      <c r="E17" s="29"/>
      <c r="F17" s="29"/>
      <c r="G17" s="29"/>
      <c r="H17" s="29"/>
    </row>
    <row r="18" spans="1:8" x14ac:dyDescent="0.25">
      <c r="A18" s="29"/>
      <c r="B18" s="29"/>
      <c r="C18" s="29"/>
      <c r="D18" s="29"/>
      <c r="E18" s="29"/>
      <c r="F18" s="29"/>
      <c r="G18" s="29"/>
      <c r="H18" s="29"/>
    </row>
    <row r="19" spans="1:8" x14ac:dyDescent="0.25">
      <c r="A19" s="29"/>
      <c r="B19" s="29"/>
      <c r="C19" s="29"/>
      <c r="D19" s="29"/>
      <c r="E19" s="29"/>
      <c r="F19" s="29"/>
      <c r="G19" s="29"/>
      <c r="H19" s="29"/>
    </row>
    <row r="20" spans="1:8" x14ac:dyDescent="0.25">
      <c r="A20" s="29"/>
      <c r="B20" s="29"/>
      <c r="C20" s="29"/>
      <c r="D20" s="29"/>
      <c r="E20" s="29"/>
      <c r="F20" s="29"/>
      <c r="G20" s="29"/>
      <c r="H20" s="29"/>
    </row>
    <row r="22" spans="1:1" x14ac:dyDescent="0.25">
      <c r="A22" s="28" t="s">
        <v>121</v>
      </c>
    </row>
    <row r="23" spans="1:8" x14ac:dyDescent="0.25">
      <c r="A23" s="29"/>
      <c r="B23" s="29"/>
      <c r="C23" s="29"/>
      <c r="D23" s="29"/>
      <c r="E23" s="29"/>
      <c r="F23" s="29"/>
      <c r="G23" s="29"/>
      <c r="H23" s="29"/>
    </row>
    <row r="24" spans="1:8" x14ac:dyDescent="0.25">
      <c r="A24" s="29"/>
      <c r="B24" s="29"/>
      <c r="C24" s="29"/>
      <c r="D24" s="29"/>
      <c r="E24" s="29"/>
      <c r="F24" s="29"/>
      <c r="G24" s="29"/>
      <c r="H24" s="29"/>
    </row>
    <row r="25" spans="1:8" x14ac:dyDescent="0.25">
      <c r="A25" s="29"/>
      <c r="B25" s="29"/>
      <c r="C25" s="29"/>
      <c r="D25" s="29"/>
      <c r="E25" s="29"/>
      <c r="F25" s="29"/>
      <c r="G25" s="29"/>
      <c r="H25" s="29"/>
    </row>
  </sheetData>
  <autoFilter ref="A5:H10"/>
  <mergeCells count="5">
    <mergeCell ref="A1:H1"/>
    <mergeCell ref="A2:H2"/>
    <mergeCell ref="A3:H3"/>
    <mergeCell ref="A17:H20"/>
    <mergeCell ref="A23:H25"/>
  </mergeCells>
  <conditionalFormatting sqref="F6:F10">
    <cfRule type="cellIs" dxfId="15" priority="1" operator="equal">
      <formula>"OK"</formula>
    </cfRule>
    <cfRule type="cellIs" dxfId="16" priority="2" operator="equal">
      <formula>"NOK"</formula>
    </cfRule>
    <cfRule type="cellIs" dxfId="17" priority="3" operator="equal">
      <formula>"blockiert"</formula>
    </cfRule>
  </conditionalFormatting>
  <dataValidations count="2">
    <dataValidation type="list" allowBlank="1" showErrorMessage="1" errorTitle="Nur diese vier Werte" error="Bitte OK, NOK, blockiert oder offen waehlen." sqref="F10">
      <formula1>"OK,NOK,blockiert,offen"</formula1>
    </dataValidation>
    <dataValidation type="list" allowBlank="1" showErrorMessage="1" errorTitle="Nur diese vier Werte" error="Bitte OK, NOK, blockiert oder offen waehlen." sqref="F6:F10">
      <formula1>"OK,NOK,blockiert,offen"</formula1>
    </dataValidation>
  </dataValidations>
  <pageMargins left="0.3" right="0.3" top="0.4" bottom="0.4" header="0.2" footer="0.2"/>
  <pageSetup paperSize="9" orientation="landscape" fitToWidth="1" fitToHeight="0"/>
  <headerFooter>
    <oddFooter>&amp;LDamicon Testfaelle - Rolle: Erzeuger (Nachbarbetrieb)&amp;RSeite &amp;P von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workbookViewId="0">
      <pane xSplit="1" ySplit="5" topLeftCell="B6" activePane="bottomRight" state="frozen"/>
      <selection pane="bottomRight"/>
    </sheetView>
  </sheetViews>
  <sheetFormatPr defaultRowHeight="15" outlineLevelRow="0" outlineLevelCol="0" x14ac:dyDescent="55"/>
  <cols>
    <col min="1" max="1" width="10" customWidth="1"/>
    <col min="2" max="2" width="30" customWidth="1"/>
    <col min="3" max="3" width="46" customWidth="1"/>
    <col min="4" max="4" width="38" customWidth="1"/>
    <col min="5" max="5" width="52" customWidth="1"/>
    <col min="6" max="6" width="14" customWidth="1"/>
    <col min="7" max="7" width="38" customWidth="1"/>
    <col min="8" max="8" width="16" customWidth="1"/>
  </cols>
  <sheetData>
    <row r="1" ht="26" customHeight="1" spans="1:8" x14ac:dyDescent="0.25">
      <c r="A1" s="12" t="s">
        <v>279</v>
      </c>
      <c r="B1" s="12"/>
      <c r="C1" s="12"/>
      <c r="D1" s="12"/>
      <c r="E1" s="12"/>
      <c r="F1" s="12"/>
      <c r="G1" s="12"/>
      <c r="H1" s="12"/>
    </row>
    <row r="2" spans="1:8" x14ac:dyDescent="0.25">
      <c r="A2" s="13" t="s">
        <v>280</v>
      </c>
      <c r="B2" s="13"/>
      <c r="C2" s="13"/>
      <c r="D2" s="13"/>
      <c r="E2" s="13"/>
      <c r="F2" s="13"/>
      <c r="G2" s="13"/>
      <c r="H2" s="13"/>
    </row>
    <row r="3" ht="328" customHeight="1" spans="1:8" x14ac:dyDescent="0.25">
      <c r="A3" s="14" t="s">
        <v>281</v>
      </c>
      <c r="B3" s="14"/>
      <c r="C3" s="14"/>
      <c r="D3" s="14"/>
      <c r="E3" s="14"/>
      <c r="F3" s="14"/>
      <c r="G3" s="14"/>
      <c r="H3" s="14"/>
    </row>
    <row r="4" ht="6" customHeight="1" x14ac:dyDescent="0.25"/>
    <row r="5" ht="22" customHeight="1" spans="1:8" x14ac:dyDescent="0.25">
      <c r="A5" s="15" t="s">
        <v>73</v>
      </c>
      <c r="B5" s="15" t="s">
        <v>74</v>
      </c>
      <c r="C5" s="15" t="s">
        <v>75</v>
      </c>
      <c r="D5" s="15" t="s">
        <v>76</v>
      </c>
      <c r="E5" s="15" t="s">
        <v>77</v>
      </c>
      <c r="F5" s="16" t="s">
        <v>78</v>
      </c>
      <c r="G5" s="16" t="s">
        <v>79</v>
      </c>
      <c r="H5" s="16" t="s">
        <v>80</v>
      </c>
    </row>
    <row r="6" ht="110" customHeight="1" spans="1:8" x14ac:dyDescent="0.25">
      <c r="A6" s="17" t="s">
        <v>282</v>
      </c>
      <c r="B6" s="18" t="s">
        <v>283</v>
      </c>
      <c r="C6" s="18" t="s">
        <v>284</v>
      </c>
      <c r="D6" s="18" t="s">
        <v>285</v>
      </c>
      <c r="E6" s="18" t="s">
        <v>286</v>
      </c>
      <c r="F6" s="19" t="s">
        <v>1</v>
      </c>
      <c r="G6" s="20" t="s">
        <v>1</v>
      </c>
      <c r="H6" s="20" t="s">
        <v>1</v>
      </c>
    </row>
    <row r="7" ht="45" customHeight="1" spans="1:8" x14ac:dyDescent="0.25">
      <c r="A7" s="21" t="s">
        <v>287</v>
      </c>
      <c r="B7" s="22" t="s">
        <v>288</v>
      </c>
      <c r="C7" s="22" t="s">
        <v>289</v>
      </c>
      <c r="D7" s="22" t="s">
        <v>84</v>
      </c>
      <c r="E7" s="22" t="s">
        <v>290</v>
      </c>
      <c r="F7" s="19" t="s">
        <v>1</v>
      </c>
      <c r="G7" s="20" t="s">
        <v>1</v>
      </c>
      <c r="H7" s="20" t="s">
        <v>1</v>
      </c>
    </row>
    <row r="8" ht="58" customHeight="1" spans="1:8" x14ac:dyDescent="0.25">
      <c r="A8" s="17" t="s">
        <v>291</v>
      </c>
      <c r="B8" s="18" t="s">
        <v>292</v>
      </c>
      <c r="C8" s="18" t="s">
        <v>293</v>
      </c>
      <c r="D8" s="18" t="s">
        <v>294</v>
      </c>
      <c r="E8" s="18" t="s">
        <v>295</v>
      </c>
      <c r="F8" s="19" t="s">
        <v>1</v>
      </c>
      <c r="G8" s="20" t="s">
        <v>1</v>
      </c>
      <c r="H8" s="20" t="s">
        <v>1</v>
      </c>
    </row>
    <row r="9" ht="58" customHeight="1" spans="1:8" x14ac:dyDescent="0.25">
      <c r="A9" s="21" t="s">
        <v>296</v>
      </c>
      <c r="B9" s="22" t="s">
        <v>297</v>
      </c>
      <c r="C9" s="22" t="s">
        <v>298</v>
      </c>
      <c r="D9" s="22" t="s">
        <v>84</v>
      </c>
      <c r="E9" s="22" t="s">
        <v>299</v>
      </c>
      <c r="F9" s="19" t="s">
        <v>1</v>
      </c>
      <c r="G9" s="20" t="s">
        <v>1</v>
      </c>
      <c r="H9" s="20" t="s">
        <v>1</v>
      </c>
    </row>
    <row r="10" ht="97" customHeight="1" spans="1:8" x14ac:dyDescent="0.25">
      <c r="A10" s="17" t="s">
        <v>300</v>
      </c>
      <c r="B10" s="18" t="s">
        <v>301</v>
      </c>
      <c r="C10" s="18" t="s">
        <v>302</v>
      </c>
      <c r="D10" s="18" t="s">
        <v>303</v>
      </c>
      <c r="E10" s="18" t="s">
        <v>304</v>
      </c>
      <c r="F10" s="19" t="s">
        <v>1</v>
      </c>
      <c r="G10" s="20" t="s">
        <v>1</v>
      </c>
      <c r="H10" s="20" t="s">
        <v>1</v>
      </c>
    </row>
    <row r="11" ht="58" customHeight="1" spans="1:8" x14ac:dyDescent="0.25">
      <c r="A11" s="21" t="s">
        <v>305</v>
      </c>
      <c r="B11" s="22" t="s">
        <v>306</v>
      </c>
      <c r="C11" s="22" t="s">
        <v>307</v>
      </c>
      <c r="D11" s="22" t="s">
        <v>84</v>
      </c>
      <c r="E11" s="22" t="s">
        <v>308</v>
      </c>
      <c r="F11" s="19" t="s">
        <v>1</v>
      </c>
      <c r="G11" s="20" t="s">
        <v>1</v>
      </c>
      <c r="H11" s="20" t="s">
        <v>1</v>
      </c>
    </row>
    <row r="12" ht="58" customHeight="1" spans="1:8" x14ac:dyDescent="0.25">
      <c r="A12" s="17" t="s">
        <v>309</v>
      </c>
      <c r="B12" s="18" t="s">
        <v>310</v>
      </c>
      <c r="C12" s="18" t="s">
        <v>311</v>
      </c>
      <c r="D12" s="18" t="s">
        <v>312</v>
      </c>
      <c r="E12" s="18" t="s">
        <v>313</v>
      </c>
      <c r="F12" s="19" t="s">
        <v>1</v>
      </c>
      <c r="G12" s="20" t="s">
        <v>1</v>
      </c>
      <c r="H12" s="20" t="s">
        <v>1</v>
      </c>
    </row>
    <row r="14" spans="5:7" x14ac:dyDescent="0.25">
      <c r="E14" s="23" t="s">
        <v>116</v>
      </c>
      <c r="F14" s="24">
        <f>COUNTIF(F6:F12,"OK")</f>
      </c>
      <c r="G14" s="25" t="s">
        <v>117</v>
      </c>
    </row>
    <row r="15" spans="6:7" x14ac:dyDescent="0.25">
      <c r="F15" s="26">
        <f>COUNTIF(F6:F12,"NOK")</f>
      </c>
      <c r="G15" s="25" t="s">
        <v>118</v>
      </c>
    </row>
    <row r="16" spans="6:7" x14ac:dyDescent="0.25">
      <c r="F16" s="27">
        <f>COUNTIF(F6:F12,"blockiert")</f>
      </c>
      <c r="G16" s="25" t="s">
        <v>119</v>
      </c>
    </row>
    <row r="18" spans="1:1" x14ac:dyDescent="0.25">
      <c r="A18" s="28" t="s">
        <v>120</v>
      </c>
    </row>
    <row r="19" spans="1:8" x14ac:dyDescent="0.25">
      <c r="A19" s="29"/>
      <c r="B19" s="29"/>
      <c r="C19" s="29"/>
      <c r="D19" s="29"/>
      <c r="E19" s="29"/>
      <c r="F19" s="29"/>
      <c r="G19" s="29"/>
      <c r="H19" s="29"/>
    </row>
    <row r="20" spans="1:8" x14ac:dyDescent="0.25">
      <c r="A20" s="29"/>
      <c r="B20" s="29"/>
      <c r="C20" s="29"/>
      <c r="D20" s="29"/>
      <c r="E20" s="29"/>
      <c r="F20" s="29"/>
      <c r="G20" s="29"/>
      <c r="H20" s="29"/>
    </row>
    <row r="21" spans="1:8" x14ac:dyDescent="0.25">
      <c r="A21" s="29"/>
      <c r="B21" s="29"/>
      <c r="C21" s="29"/>
      <c r="D21" s="29"/>
      <c r="E21" s="29"/>
      <c r="F21" s="29"/>
      <c r="G21" s="29"/>
      <c r="H21" s="29"/>
    </row>
    <row r="22" spans="1:8" x14ac:dyDescent="0.25">
      <c r="A22" s="29"/>
      <c r="B22" s="29"/>
      <c r="C22" s="29"/>
      <c r="D22" s="29"/>
      <c r="E22" s="29"/>
      <c r="F22" s="29"/>
      <c r="G22" s="29"/>
      <c r="H22" s="29"/>
    </row>
    <row r="24" spans="1:1" x14ac:dyDescent="0.25">
      <c r="A24" s="28" t="s">
        <v>121</v>
      </c>
    </row>
    <row r="25" spans="1:8" x14ac:dyDescent="0.25">
      <c r="A25" s="29"/>
      <c r="B25" s="29"/>
      <c r="C25" s="29"/>
      <c r="D25" s="29"/>
      <c r="E25" s="29"/>
      <c r="F25" s="29"/>
      <c r="G25" s="29"/>
      <c r="H25" s="29"/>
    </row>
    <row r="26" spans="1:8" x14ac:dyDescent="0.25">
      <c r="A26" s="29"/>
      <c r="B26" s="29"/>
      <c r="C26" s="29"/>
      <c r="D26" s="29"/>
      <c r="E26" s="29"/>
      <c r="F26" s="29"/>
      <c r="G26" s="29"/>
      <c r="H26" s="29"/>
    </row>
    <row r="27" spans="1:8" x14ac:dyDescent="0.25">
      <c r="A27" s="29"/>
      <c r="B27" s="29"/>
      <c r="C27" s="29"/>
      <c r="D27" s="29"/>
      <c r="E27" s="29"/>
      <c r="F27" s="29"/>
      <c r="G27" s="29"/>
      <c r="H27" s="29"/>
    </row>
  </sheetData>
  <autoFilter ref="A5:H12"/>
  <mergeCells count="5">
    <mergeCell ref="A1:H1"/>
    <mergeCell ref="A2:H2"/>
    <mergeCell ref="A3:H3"/>
    <mergeCell ref="A19:H22"/>
    <mergeCell ref="A25:H27"/>
  </mergeCells>
  <conditionalFormatting sqref="F6:F12">
    <cfRule type="cellIs" dxfId="18" priority="1" operator="equal">
      <formula>"OK"</formula>
    </cfRule>
    <cfRule type="cellIs" dxfId="19" priority="2" operator="equal">
      <formula>"NOK"</formula>
    </cfRule>
    <cfRule type="cellIs" dxfId="20" priority="3" operator="equal">
      <formula>"blockiert"</formula>
    </cfRule>
  </conditionalFormatting>
  <dataValidations count="2">
    <dataValidation type="list" allowBlank="1" showErrorMessage="1" errorTitle="Nur diese vier Werte" error="Bitte OK, NOK, blockiert oder offen waehlen." sqref="F10:F12">
      <formula1>"OK,NOK,blockiert,offen"</formula1>
    </dataValidation>
    <dataValidation type="list" allowBlank="1" showErrorMessage="1" errorTitle="Nur diese vier Werte" error="Bitte OK, NOK, blockiert oder offen waehlen." sqref="F6:F12">
      <formula1>"OK,NOK,blockiert,offen"</formula1>
    </dataValidation>
  </dataValidations>
  <pageMargins left="0.3" right="0.3" top="0.4" bottom="0.4" header="0.2" footer="0.2"/>
  <pageSetup paperSize="9" orientation="landscape" fitToWidth="1" fitToHeight="0"/>
  <headerFooter>
    <oddFooter>&amp;LDamicon Testfaelle - Rolle: B2B-Kunde&amp;RSeite &amp;P von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H40"/>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14" customWidth="1"/>
    <col min="3" max="3" width="18" customWidth="1"/>
    <col min="4" max="4" width="14" customWidth="1"/>
    <col min="5" max="5" width="50" customWidth="1"/>
    <col min="6" max="6" width="44" customWidth="1"/>
    <col min="7" max="7" width="20" customWidth="1"/>
    <col min="8" max="8" width="16" customWidth="1"/>
  </cols>
  <sheetData>
    <row r="1" ht="26" customHeight="1" spans="1:8" x14ac:dyDescent="0.25">
      <c r="A1" s="30" t="s">
        <v>314</v>
      </c>
      <c r="B1" s="30"/>
      <c r="C1" s="30"/>
      <c r="D1" s="30"/>
      <c r="E1" s="30"/>
      <c r="F1" s="30"/>
      <c r="G1" s="30"/>
      <c r="H1" s="30"/>
    </row>
    <row r="3" ht="22" customHeight="1" spans="1:8" x14ac:dyDescent="0.25">
      <c r="A3" s="15" t="s">
        <v>73</v>
      </c>
      <c r="B3" s="15" t="s">
        <v>315</v>
      </c>
      <c r="C3" s="15" t="s">
        <v>54</v>
      </c>
      <c r="D3" s="15" t="s">
        <v>316</v>
      </c>
      <c r="E3" s="15" t="s">
        <v>317</v>
      </c>
      <c r="F3" s="15" t="s">
        <v>318</v>
      </c>
      <c r="G3" s="15" t="s">
        <v>319</v>
      </c>
      <c r="H3" s="15" t="s">
        <v>320</v>
      </c>
    </row>
    <row r="4" ht="46" customHeight="1" spans="1:8" x14ac:dyDescent="0.25">
      <c r="A4" s="31" t="s">
        <v>321</v>
      </c>
      <c r="B4" s="31" t="s">
        <v>235</v>
      </c>
      <c r="C4" s="31" t="s">
        <v>64</v>
      </c>
      <c r="D4" s="31" t="s">
        <v>32</v>
      </c>
      <c r="E4" s="31" t="s">
        <v>322</v>
      </c>
      <c r="F4" s="31" t="s">
        <v>323</v>
      </c>
      <c r="G4" s="31" t="s">
        <v>324</v>
      </c>
      <c r="H4" s="31" t="s">
        <v>59</v>
      </c>
    </row>
    <row r="5" spans="1:8" x14ac:dyDescent="0.25">
      <c r="A5" s="32"/>
      <c r="B5" s="32"/>
      <c r="C5" s="32"/>
      <c r="D5" s="32"/>
      <c r="E5" s="32"/>
      <c r="F5" s="32"/>
      <c r="G5" s="32"/>
      <c r="H5" s="32"/>
    </row>
    <row r="6" spans="1:8" x14ac:dyDescent="0.25">
      <c r="A6" s="32"/>
      <c r="B6" s="32"/>
      <c r="C6" s="32"/>
      <c r="D6" s="32"/>
      <c r="E6" s="32"/>
      <c r="F6" s="32"/>
      <c r="G6" s="32"/>
      <c r="H6" s="32"/>
    </row>
    <row r="7" spans="1:8" x14ac:dyDescent="0.25">
      <c r="A7" s="32"/>
      <c r="B7" s="32"/>
      <c r="C7" s="32"/>
      <c r="D7" s="32"/>
      <c r="E7" s="32"/>
      <c r="F7" s="32"/>
      <c r="G7" s="32"/>
      <c r="H7" s="32"/>
    </row>
    <row r="8" spans="1:8" x14ac:dyDescent="0.25">
      <c r="A8" s="32"/>
      <c r="B8" s="32"/>
      <c r="C8" s="32"/>
      <c r="D8" s="32"/>
      <c r="E8" s="32"/>
      <c r="F8" s="32"/>
      <c r="G8" s="32"/>
      <c r="H8" s="32"/>
    </row>
    <row r="9" spans="1:8" x14ac:dyDescent="0.25">
      <c r="A9" s="32"/>
      <c r="B9" s="32"/>
      <c r="C9" s="32"/>
      <c r="D9" s="32"/>
      <c r="E9" s="32"/>
      <c r="F9" s="32"/>
      <c r="G9" s="32"/>
      <c r="H9" s="32"/>
    </row>
    <row r="10" spans="1:8" x14ac:dyDescent="0.25">
      <c r="A10" s="32"/>
      <c r="B10" s="32"/>
      <c r="C10" s="32"/>
      <c r="D10" s="32"/>
      <c r="E10" s="32"/>
      <c r="F10" s="32"/>
      <c r="G10" s="32"/>
      <c r="H10" s="32"/>
    </row>
    <row r="11" spans="1:8" x14ac:dyDescent="0.25">
      <c r="A11" s="32"/>
      <c r="B11" s="32"/>
      <c r="C11" s="32"/>
      <c r="D11" s="32"/>
      <c r="E11" s="32"/>
      <c r="F11" s="32"/>
      <c r="G11" s="32"/>
      <c r="H11" s="32"/>
    </row>
    <row r="12" spans="1:8" x14ac:dyDescent="0.25">
      <c r="A12" s="32"/>
      <c r="B12" s="32"/>
      <c r="C12" s="32"/>
      <c r="D12" s="32"/>
      <c r="E12" s="32"/>
      <c r="F12" s="32"/>
      <c r="G12" s="32"/>
      <c r="H12" s="32"/>
    </row>
    <row r="13" spans="1:8" x14ac:dyDescent="0.25">
      <c r="A13" s="32"/>
      <c r="B13" s="32"/>
      <c r="C13" s="32"/>
      <c r="D13" s="32"/>
      <c r="E13" s="32"/>
      <c r="F13" s="32"/>
      <c r="G13" s="32"/>
      <c r="H13" s="32"/>
    </row>
    <row r="14" spans="1:8" x14ac:dyDescent="0.25">
      <c r="A14" s="32"/>
      <c r="B14" s="32"/>
      <c r="C14" s="32"/>
      <c r="D14" s="32"/>
      <c r="E14" s="32"/>
      <c r="F14" s="32"/>
      <c r="G14" s="32"/>
      <c r="H14" s="32"/>
    </row>
    <row r="15" spans="1:8" x14ac:dyDescent="0.25">
      <c r="A15" s="32"/>
      <c r="B15" s="32"/>
      <c r="C15" s="32"/>
      <c r="D15" s="32"/>
      <c r="E15" s="32"/>
      <c r="F15" s="32"/>
      <c r="G15" s="32"/>
      <c r="H15" s="32"/>
    </row>
    <row r="16" spans="1:8" x14ac:dyDescent="0.25">
      <c r="A16" s="32"/>
      <c r="B16" s="32"/>
      <c r="C16" s="32"/>
      <c r="D16" s="32"/>
      <c r="E16" s="32"/>
      <c r="F16" s="32"/>
      <c r="G16" s="32"/>
      <c r="H16" s="32"/>
    </row>
    <row r="17" spans="1:8" x14ac:dyDescent="0.25">
      <c r="A17" s="32"/>
      <c r="B17" s="32"/>
      <c r="C17" s="32"/>
      <c r="D17" s="32"/>
      <c r="E17" s="32"/>
      <c r="F17" s="32"/>
      <c r="G17" s="32"/>
      <c r="H17" s="32"/>
    </row>
    <row r="18" spans="1:8" x14ac:dyDescent="0.25">
      <c r="A18" s="32"/>
      <c r="B18" s="32"/>
      <c r="C18" s="32"/>
      <c r="D18" s="32"/>
      <c r="E18" s="32"/>
      <c r="F18" s="32"/>
      <c r="G18" s="32"/>
      <c r="H18" s="32"/>
    </row>
    <row r="19" spans="1:8" x14ac:dyDescent="0.25">
      <c r="A19" s="32"/>
      <c r="B19" s="32"/>
      <c r="C19" s="32"/>
      <c r="D19" s="32"/>
      <c r="E19" s="32"/>
      <c r="F19" s="32"/>
      <c r="G19" s="32"/>
      <c r="H19" s="32"/>
    </row>
    <row r="20" spans="1:8" x14ac:dyDescent="0.25">
      <c r="A20" s="32"/>
      <c r="B20" s="32"/>
      <c r="C20" s="32"/>
      <c r="D20" s="32"/>
      <c r="E20" s="32"/>
      <c r="F20" s="32"/>
      <c r="G20" s="32"/>
      <c r="H20" s="32"/>
    </row>
    <row r="21" spans="1:8" x14ac:dyDescent="0.25">
      <c r="A21" s="32"/>
      <c r="B21" s="32"/>
      <c r="C21" s="32"/>
      <c r="D21" s="32"/>
      <c r="E21" s="32"/>
      <c r="F21" s="32"/>
      <c r="G21" s="32"/>
      <c r="H21" s="32"/>
    </row>
    <row r="22" spans="1:8" x14ac:dyDescent="0.25">
      <c r="A22" s="32"/>
      <c r="B22" s="32"/>
      <c r="C22" s="32"/>
      <c r="D22" s="32"/>
      <c r="E22" s="32"/>
      <c r="F22" s="32"/>
      <c r="G22" s="32"/>
      <c r="H22" s="32"/>
    </row>
    <row r="23" spans="1:8" x14ac:dyDescent="0.25">
      <c r="A23" s="32"/>
      <c r="B23" s="32"/>
      <c r="C23" s="32"/>
      <c r="D23" s="32"/>
      <c r="E23" s="32"/>
      <c r="F23" s="32"/>
      <c r="G23" s="32"/>
      <c r="H23" s="32"/>
    </row>
    <row r="24" spans="1:8" x14ac:dyDescent="0.25">
      <c r="A24" s="32"/>
      <c r="B24" s="32"/>
      <c r="C24" s="32"/>
      <c r="D24" s="32"/>
      <c r="E24" s="32"/>
      <c r="F24" s="32"/>
      <c r="G24" s="32"/>
      <c r="H24" s="32"/>
    </row>
    <row r="25" spans="1:8" x14ac:dyDescent="0.25">
      <c r="A25" s="32"/>
      <c r="B25" s="32"/>
      <c r="C25" s="32"/>
      <c r="D25" s="32"/>
      <c r="E25" s="32"/>
      <c r="F25" s="32"/>
      <c r="G25" s="32"/>
      <c r="H25" s="32"/>
    </row>
    <row r="26" spans="1:8" x14ac:dyDescent="0.25">
      <c r="A26" s="32"/>
      <c r="B26" s="32"/>
      <c r="C26" s="32"/>
      <c r="D26" s="32"/>
      <c r="E26" s="32"/>
      <c r="F26" s="32"/>
      <c r="G26" s="32"/>
      <c r="H26" s="32"/>
    </row>
    <row r="27" spans="1:8" x14ac:dyDescent="0.25">
      <c r="A27" s="32"/>
      <c r="B27" s="32"/>
      <c r="C27" s="32"/>
      <c r="D27" s="32"/>
      <c r="E27" s="32"/>
      <c r="F27" s="32"/>
      <c r="G27" s="32"/>
      <c r="H27" s="32"/>
    </row>
    <row r="28" spans="1:8" x14ac:dyDescent="0.25">
      <c r="A28" s="32"/>
      <c r="B28" s="32"/>
      <c r="C28" s="32"/>
      <c r="D28" s="32"/>
      <c r="E28" s="32"/>
      <c r="F28" s="32"/>
      <c r="G28" s="32"/>
      <c r="H28" s="32"/>
    </row>
    <row r="29" spans="1:8" x14ac:dyDescent="0.25">
      <c r="A29" s="32"/>
      <c r="B29" s="32"/>
      <c r="C29" s="32"/>
      <c r="D29" s="32"/>
      <c r="E29" s="32"/>
      <c r="F29" s="32"/>
      <c r="G29" s="32"/>
      <c r="H29" s="32"/>
    </row>
    <row r="30" spans="1:8" x14ac:dyDescent="0.25">
      <c r="A30" s="32"/>
      <c r="B30" s="32"/>
      <c r="C30" s="32"/>
      <c r="D30" s="32"/>
      <c r="E30" s="32"/>
      <c r="F30" s="32"/>
      <c r="G30" s="32"/>
      <c r="H30" s="32"/>
    </row>
    <row r="31" spans="1:8" x14ac:dyDescent="0.25">
      <c r="A31" s="32"/>
      <c r="B31" s="32"/>
      <c r="C31" s="32"/>
      <c r="D31" s="32"/>
      <c r="E31" s="32"/>
      <c r="F31" s="32"/>
      <c r="G31" s="32"/>
      <c r="H31" s="32"/>
    </row>
    <row r="32" spans="1:8" x14ac:dyDescent="0.25">
      <c r="A32" s="32"/>
      <c r="B32" s="32"/>
      <c r="C32" s="32"/>
      <c r="D32" s="32"/>
      <c r="E32" s="32"/>
      <c r="F32" s="32"/>
      <c r="G32" s="32"/>
      <c r="H32" s="32"/>
    </row>
    <row r="33" spans="1:8" x14ac:dyDescent="0.25">
      <c r="A33" s="32"/>
      <c r="B33" s="32"/>
      <c r="C33" s="32"/>
      <c r="D33" s="32"/>
      <c r="E33" s="32"/>
      <c r="F33" s="32"/>
      <c r="G33" s="32"/>
      <c r="H33" s="32"/>
    </row>
    <row r="34" spans="1:8" x14ac:dyDescent="0.25">
      <c r="A34" s="32"/>
      <c r="B34" s="32"/>
      <c r="C34" s="32"/>
      <c r="D34" s="32"/>
      <c r="E34" s="32"/>
      <c r="F34" s="32"/>
      <c r="G34" s="32"/>
      <c r="H34" s="32"/>
    </row>
    <row r="35" spans="1:8" x14ac:dyDescent="0.25">
      <c r="A35" s="32"/>
      <c r="B35" s="32"/>
      <c r="C35" s="32"/>
      <c r="D35" s="32"/>
      <c r="E35" s="32"/>
      <c r="F35" s="32"/>
      <c r="G35" s="32"/>
      <c r="H35" s="32"/>
    </row>
    <row r="36" spans="1:8" x14ac:dyDescent="0.25">
      <c r="A36" s="32"/>
      <c r="B36" s="32"/>
      <c r="C36" s="32"/>
      <c r="D36" s="32"/>
      <c r="E36" s="32"/>
      <c r="F36" s="32"/>
      <c r="G36" s="32"/>
      <c r="H36" s="32"/>
    </row>
    <row r="37" spans="1:8" x14ac:dyDescent="0.25">
      <c r="A37" s="32"/>
      <c r="B37" s="32"/>
      <c r="C37" s="32"/>
      <c r="D37" s="32"/>
      <c r="E37" s="32"/>
      <c r="F37" s="32"/>
      <c r="G37" s="32"/>
      <c r="H37" s="32"/>
    </row>
    <row r="38" spans="1:8" x14ac:dyDescent="0.25">
      <c r="A38" s="32"/>
      <c r="B38" s="32"/>
      <c r="C38" s="32"/>
      <c r="D38" s="32"/>
      <c r="E38" s="32"/>
      <c r="F38" s="32"/>
      <c r="G38" s="32"/>
      <c r="H38" s="32"/>
    </row>
    <row r="39" spans="1:8" x14ac:dyDescent="0.25">
      <c r="A39" s="32"/>
      <c r="B39" s="32"/>
      <c r="C39" s="32"/>
      <c r="D39" s="32"/>
      <c r="E39" s="32"/>
      <c r="F39" s="32"/>
      <c r="G39" s="32"/>
      <c r="H39" s="32"/>
    </row>
    <row r="40" spans="1:8" x14ac:dyDescent="0.25">
      <c r="A40" s="32"/>
      <c r="B40" s="32"/>
      <c r="C40" s="32"/>
      <c r="D40" s="32"/>
      <c r="E40" s="32"/>
      <c r="F40" s="32"/>
      <c r="G40" s="32"/>
      <c r="H40" s="32"/>
    </row>
  </sheetData>
  <autoFilter ref="A3:H40"/>
  <mergeCells count="1">
    <mergeCell ref="A1:H1"/>
  </mergeCells>
  <dataValidations count="4">
    <dataValidation type="list" allowBlank="1" showErrorMessage="1" sqref="D10:D40">
      <formula1>"S1,S2,S3,S4"</formula1>
    </dataValidation>
    <dataValidation type="list" allowBlank="1" showErrorMessage="1" sqref="D5:D40">
      <formula1>"S1,S2,S3,S4"</formula1>
    </dataValidation>
    <dataValidation type="list" allowBlank="1" showErrorMessage="1" sqref="H10:H40">
      <formula1>"offen,in Arbeit,behoben,kein Fehler"</formula1>
    </dataValidation>
    <dataValidation type="list" allowBlank="1" showErrorMessage="1" sqref="H5:H40">
      <formula1>"offen,in Arbeit,behoben,kein Fehler"</formula1>
    </dataValidation>
  </dataValidation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Anleitung</vt:lpstr>
      <vt:lpstr>Auswertung</vt:lpstr>
      <vt:lpstr>Admin</vt:lpstr>
      <vt:lpstr>Betriebsleitung</vt:lpstr>
      <vt:lpstr>Buchhaltung</vt:lpstr>
      <vt:lpstr>Brigade</vt:lpstr>
      <vt:lpstr>Pfluecker</vt:lpstr>
      <vt:lpstr>Erzeuger</vt:lpstr>
      <vt:lpstr>Kunde</vt:lpstr>
      <vt:lpstr>Funde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Damicon</dc:creator>
  <dc:title/>
  <dc:subject/>
  <dc:description/>
  <cp:keywords/>
  <cp:category/>
  <cp:lastModifiedBy>Unknown</cp:lastModifiedBy>
  <dcterms:created xsi:type="dcterms:W3CDTF">2026-09-20T08:12:04Z</dcterms:created>
  <dcterms:modified xsi:type="dcterms:W3CDTF">2026-09-20T08:12:04Z</dcterms:modified>
</cp:coreProperties>
</file>