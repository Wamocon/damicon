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nleitung" state="visible" r:id="rId4"/>
    <sheet sheetId="2" name="Admin" state="visible" r:id="rId5"/>
    <sheet sheetId="3" name="Funde" state="visible" r:id="rId6"/>
  </sheets>
  <calcPr calcId="171027" fullCalcOnLoad="1"/>
</workbook>
</file>

<file path=xl/sharedStrings.xml><?xml version="1.0" encoding="utf-8"?>
<sst xmlns="http://schemas.openxmlformats.org/spreadsheetml/2006/main" count="191" uniqueCount="120">
  <si>
    <t>Damicon: Manueller Rollentest</t>
  </si>
  <si>
    <t/>
  </si>
  <si>
    <t>Stand</t>
  </si>
  <si>
    <t>20.09.2026</t>
  </si>
  <si>
    <t>Umfang</t>
  </si>
  <si>
    <t>43 Testfaelle ueber 7 Rollen, davon 11 Negativtests</t>
  </si>
  <si>
    <t>Dauer</t>
  </si>
  <si>
    <t>3 bis 4 Stunden ohne Fehlerverfolgung</t>
  </si>
  <si>
    <t>Umgebung</t>
  </si>
  <si>
    <t>https://damicon.vercel.app/de/dashboard</t>
  </si>
  <si>
    <t>1. VORBEREITUNG</t>
  </si>
  <si>
    <t>Die Instanz verlangt eine ANMELDUNG. Es gibt keine freie Demo-Ansicht.</t>
  </si>
  <si>
    <t>Im Projekt sind sieben Demo-Konten vorgesehen (supabase/seed-auth.mjs), Passwort steht im selben Skript.</t>
  </si>
  <si>
    <t>OB DIESE KONTEN AUF DER VERCEL-INSTANZ EXISTIEREN, IST NICHT GEPRUEFT. Vor Testbeginn klaeren.</t>
  </si>
  <si>
    <t>Fehlen sie: entweder Admin legt sie an, oder lokal im Demo-Modus testen (npm run dev ohne Supabase).</t>
  </si>
  <si>
    <t>ACHTUNG: weder der Demo-Modus noch "Ansicht als" beantworten die Negativtests. Beide aendern nur die Anzeige,</t>
  </si>
  <si>
    <t>nicht die Rechtepruefung der Datenbank. Dafuer muss man sich echt mit dem jeweiligen Konto anmelden.</t>
  </si>
  <si>
    <t>Browser: je Rolle ein eigenes privates Fenster, sonst ueberlagern sich die Anmeldungen.</t>
  </si>
  <si>
    <t>Mobil: Brigade und Pfluecker mindestens je einen Testfall am Handy oder bei 390 px Fensterbreite.</t>
  </si>
  <si>
    <t>2. REIHENFOLGE (vier Faelle bauen aufeinander auf)</t>
  </si>
  <si>
    <t>Admin TF-A2 (Kunden einladen) liefert den Code fuer Kunde TF-K1</t>
  </si>
  <si>
    <t>Betriebsleitung TF-L1 (Aufgabe anlegen) liefert die Aufgabe fuer Brigade TF-B1 bis TF-B3</t>
  </si>
  <si>
    <t>Betriebsleitung TF-L4 (Beleg pruefen) macht sie abrechenbar fuer Buchhaltung TF-F2</t>
  </si>
  <si>
    <t>Kunde TF-K5 (Reklamation) liefert den Vorgang fuer Buchhaltung TF-F6</t>
  </si>
  <si>
    <t>Alle uebrigen Testfaelle sind unabhaengig.</t>
  </si>
  <si>
    <t>3. AUSFUELLEN</t>
  </si>
  <si>
    <t>Spalte Ergebnis: Auswahlliste mit OK / NOK / blockiert / offen. Faerbt sich automatisch.</t>
  </si>
  <si>
    <t>Spalte Beobachtung: nur bei NOK oder blockiert. Was stand am Bildschirm, nicht die Deutung.</t>
  </si>
  <si>
    <t>Spalte Datum/Tester: Kuerzel genuegt.</t>
  </si>
  <si>
    <t>Bei NOK zusaetzlich: Bildschirmfoto als TF-&lt;Nr&gt;.png, Uhrzeit notieren, zweiten Versuch machen.</t>
  </si>
  <si>
    <t>Explorativ: die Schritte sind die Pflicht, nicht die Grenze. Auffaelliges ins Blatt "Funde".</t>
  </si>
  <si>
    <t>4. FEHLERKLASSEN</t>
  </si>
  <si>
    <t>S1</t>
  </si>
  <si>
    <t>Datenverlust, falsche Zahl auf einem Beleg, jemand sieht Fremddaten</t>
  </si>
  <si>
    <t>S2</t>
  </si>
  <si>
    <t>Kernfunktion nicht nutzbar, kein Umweg</t>
  </si>
  <si>
    <t>S3</t>
  </si>
  <si>
    <t>Funktion nutzbar, aber fehlerhaft oder umstaendlich</t>
  </si>
  <si>
    <t>S4</t>
  </si>
  <si>
    <t>Schoenheitsfehler: Tippfehler, Abstand, Farbe</t>
  </si>
  <si>
    <t>Falsche Zahlen in Lohn, Rechnung oder Steuer sind IMMER mindestens S2.</t>
  </si>
  <si>
    <t>5. WAS KEIN FEHLER IST (nicht melden)</t>
  </si>
  <si>
    <t>Lieferschein-ESF und Integrationen sind Platzhalter, es liest und schreibt sie noch nichts.</t>
  </si>
  <si>
    <t>Wetter zeigt die Temperatursumme, trifft bewusst keine Vorhersage.</t>
  </si>
  <si>
    <t>Vorbestellungen bestaetigt das Buero von Hand, es gibt keine Automatik.</t>
  </si>
  <si>
    <t>QR-Steigen kann nur anzeigen und drucken, Steigen entstehen ueber die Pflueckaufgabe.</t>
  </si>
  <si>
    <t>Kanaele sind reine Anzeige, keine echte Anbindung an WhatsApp oder Kaspi.</t>
  </si>
  <si>
    <t>Hinweis "Beispieldaten" = keine Datenbank hinterlegt, Meldung der Umgebung.</t>
  </si>
  <si>
    <t>ABER: Hinweis "Fehler" statt "Beispieldaten" IST zu melden, dann ist eine Abfrage fehlgeschlagen.</t>
  </si>
  <si>
    <t>6. TESTDATEN-HYGIENE</t>
  </si>
  <si>
    <t>Alles selbst Angelegte mit "TEST" im Namen versehen.</t>
  </si>
  <si>
    <t>Nichts loeschen, was vorher schon da war, auch wenn es falsch aussieht.</t>
  </si>
  <si>
    <t>Freigegebene Lohnabrechnungen und Einladungen bleiben stehen, sie sind nachweispflichtig.</t>
  </si>
  <si>
    <t>Damicon Testfaelle - Rolle: Admin</t>
  </si>
  <si>
    <t>Anmeldung als: admin@damicon.demo</t>
  </si>
  <si>
    <t>Einzige Rolle mit Vollzugriff. Geprueft wird vor allem, ob die Rechteverwaltung selbst stimmt, denn jeder Fehler hier wirkt auf alle anderen Rollen.</t>
  </si>
  <si>
    <t>Nr</t>
  </si>
  <si>
    <t>Was geprueft wird</t>
  </si>
  <si>
    <t>Schritte</t>
  </si>
  <si>
    <t>Testdaten (Eingabe)</t>
  </si>
  <si>
    <t>Erwartetes Ergebnis</t>
  </si>
  <si>
    <t>Ergebnis</t>
  </si>
  <si>
    <t>Beobachtung</t>
  </si>
  <si>
    <t>Datum / Tester</t>
  </si>
  <si>
    <t>TF-A1</t>
  </si>
  <si>
    <t>Rechtematrix ist vollstaendig und stimmt</t>
  </si>
  <si>
    <t xml:space="preserve">1. Buero &gt; Rollen oeffnen
2. Rechtematrix aufklappen
3. Zeile "Lohn" suchen
4. Spalten Pfluecker und Brigade vergleichen</t>
  </si>
  <si>
    <t>keine Eingabe</t>
  </si>
  <si>
    <t>Alle 7 Rollen sind gelistet. Pfluecker hat bei Lohn nur "ansehen", Brigade hat bei Lohn gar kein Recht. Die Matrix zeigt die tatsaechliche Konfiguration, keine feste Grafik.</t>
  </si>
  <si>
    <t>TF-A2</t>
  </si>
  <si>
    <t>Kundenzugang ausstellen</t>
  </si>
  <si>
    <t xml:space="preserve">1. Buero &gt; Rollen &gt; Kundenzugaenge
2. "Einladung ausstellen"
3. Felder fuellen
4. Absenden
5. Angezeigten Code notieren</t>
  </si>
  <si>
    <t xml:space="preserve">B2B-Kunde: Almaty Fresh Market
Name: TEST Aigul Sarsenowa
E-Mail: test.kunde.20092026@example.com</t>
  </si>
  <si>
    <t xml:space="preserve">Einladung wird angelegt, ein Code erscheint. Hinweis "gilt 14 Tage und nur fuer diese Adresse".
CODE HIER NOTIEREN, wird in TF-K1 gebraucht.</t>
  </si>
  <si>
    <t>TF-A3</t>
  </si>
  <si>
    <t>"Ansicht als" wirkt auf die Anzeige</t>
  </si>
  <si>
    <t xml:space="preserve">1. Oben rechts Rollenumschalter
2. Auf "Pfluecker" umstellen
3. Navigation ansehen
4. Zurueck auf Admin</t>
  </si>
  <si>
    <t>Rolle: Pfluecker</t>
  </si>
  <si>
    <t>Die Navigation schrumpft sichtbar auf Dashboard, Lohn und Schulungen. Feld, Hof und Markt verschwinden. Nach dem Zuruecksetzen ist wieder alles da.</t>
  </si>
  <si>
    <t>TF-A4</t>
  </si>
  <si>
    <t>KI-Anbieter verwalten (nur Admin)</t>
  </si>
  <si>
    <t xml:space="preserve">1. KI-Bereich oeffnen
2. Anbieterliste aufrufen
3. Pruefen, ob Anbieter anlegbar/aenderbar sind</t>
  </si>
  <si>
    <t>nichts speichern, nur pruefen ob erreichbar</t>
  </si>
  <si>
    <t>Die Anbieterverwaltung ist erreichbar und bedienbar. Kein Schluessel wird im Klartext angezeigt.</t>
  </si>
  <si>
    <t>TF-A5</t>
  </si>
  <si>
    <t>Steuernummer mit falscher Pruefziffer wird abgelehnt (NEGATIVTEST)</t>
  </si>
  <si>
    <t xml:space="preserve">1. Buero &gt; Stammdaten
2. Betrieb bearbeiten, Rechtsform KH/FH (Feld heisst dann IIN)
3. Wert 1 eintragen, speichern
4. Wert 2 eintragen, speichern
5. Wert 3 eintragen, speichern</t>
  </si>
  <si>
    <t xml:space="preserve">1. zu kurz: 78062130045
2. Pruefziffer falsch: 780621300451
3. gueltig: 780621300453</t>
  </si>
  <si>
    <t xml:space="preserve">Wert 1 abgelehnt mit Hinweis auf die Stellenzahl. Wert 2 abgelehnt mit Hinweis auf die PRUEFZIFFER, das ist eine andere Meldung als bei Wert 1. Wert 3 wird gespeichert.
Wird Wert 1 oder 2 angenommen: S1.</t>
  </si>
  <si>
    <t>TF-A6</t>
  </si>
  <si>
    <t>Auditprotokoll und MFA-Status</t>
  </si>
  <si>
    <t xml:space="preserve">1. Buero &gt; Compliance
2. Auditprotokoll oeffnen
3. Nach dem Eintrag aus TF-A2 suchen
4. MFA-Status ansehen</t>
  </si>
  <si>
    <t>Suchzeitraum: heute</t>
  </si>
  <si>
    <t>Die in TF-A2 ausgestellte Einladung taucht als Eintrag auf, mit Zeit und handelndem Benutzer. Der MFA-Status je Konto ist erkennbar.</t>
  </si>
  <si>
    <t>TF-A7</t>
  </si>
  <si>
    <t>Admin sieht alle vier Zonen</t>
  </si>
  <si>
    <t xml:space="preserve">1. Navigation durchgehen
2. Je ein Modul aus Feld, Hof, Buero, Markt oeffnen</t>
  </si>
  <si>
    <t xml:space="preserve">Feld: Reihenbloecke
Hof: Kuehlkette
Buero: Finanzen
Markt: Preislisten</t>
  </si>
  <si>
    <t>Alle vier Module oeffnen ohne Zugriffsmeldung und zeigen Inhalte.</t>
  </si>
  <si>
    <t>Zwischenstand:</t>
  </si>
  <si>
    <t>OK von 7</t>
  </si>
  <si>
    <t>NOK von 7</t>
  </si>
  <si>
    <t>blockiert von 7</t>
  </si>
  <si>
    <t>Freie Funde (alles Auffaellige ausserhalb der Testfaelle):</t>
  </si>
  <si>
    <t>Gesamteindruck in zwei Saetzen: Koennte diese Person damit arbeiten?</t>
  </si>
  <si>
    <t>Fundliste - hier kommen alle NOK und alle freien Funde zusammen</t>
  </si>
  <si>
    <t>Testfall</t>
  </si>
  <si>
    <t>Rolle</t>
  </si>
  <si>
    <t>Klasse S1-S4</t>
  </si>
  <si>
    <t>Was passiert ist</t>
  </si>
  <si>
    <t>Erwartet war</t>
  </si>
  <si>
    <t>Bildschirmfoto</t>
  </si>
  <si>
    <t>Status</t>
  </si>
  <si>
    <t>1</t>
  </si>
  <si>
    <t>TF-P3</t>
  </si>
  <si>
    <t>Pfluecker</t>
  </si>
  <si>
    <t>BEISPIEL - vor Abgabe loeschen: In der Lohnliste erschien neben der eigenen Zeile auch A. Tulegenowa mit 186.400 Tenge netto.</t>
  </si>
  <si>
    <t>Nur die eigene Person darf erscheinen.</t>
  </si>
  <si>
    <t>TF-P3.png</t>
  </si>
  <si>
    <t>offen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</si>
</sst>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4"/>
      <name val="Arial"/>
    </font>
    <font>
      <sz val="10"/>
      <name val="Arial"/>
    </font>
    <font>
      <b/>
      <sz val="10"/>
      <name val="Arial"/>
    </font>
    <font>
      <b/>
      <color rgb="FFFFFFFF"/>
      <sz val="10"/>
      <name val="Arial"/>
    </font>
    <font>
      <i/>
      <color rgb="FF808080"/>
      <sz val="10"/>
      <name val="Arial"/>
    </font>
  </fonts>
  <fills count="12">
    <fill>
      <patternFill patternType="none"/>
    </fill>
    <fill>
      <patternFill patternType="gray125"/>
    </fill>
    <fill>
      <patternFill patternType="solid">
        <fgColor rgb="FF2F5597"/>
      </patternFill>
    </fill>
    <fill>
      <patternFill patternType="solid">
        <fgColor rgb="FFD9E2F3"/>
      </patternFill>
    </fill>
    <fill>
      <patternFill patternType="solid">
        <fgColor rgb="FF4472C4"/>
      </patternFill>
    </fill>
    <fill>
      <patternFill patternType="solid">
        <fgColor rgb="FFBF8F00"/>
      </patternFill>
    </fill>
    <fill>
      <patternFill patternType="solid">
        <fgColor rgb="FFFFF2CC"/>
      </patternFill>
    </fill>
    <fill>
      <patternFill patternType="solid">
        <fgColor rgb="FFF7F9FC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C000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3" fillId="3" borderId="0" xfId="0" applyFont="1" applyFill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1" fillId="2" borderId="0" xfId="0" applyFont="1" applyFill="1" applyAlignment="1">
      <alignment horizontal="left" vertical="center" indent="1"/>
    </xf>
    <xf numFmtId="0" fontId="3" fillId="0" borderId="0" xfId="0" applyFont="1" applyAlignment="1">
      <alignment vertical="center" indent="1"/>
    </xf>
    <xf numFmtId="0" fontId="2" fillId="0" borderId="0" xfId="0" applyFont="1" applyAlignment="1">
      <alignment vertical="top" wrapText="1" inden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0" fontId="2" fillId="6" borderId="1" xfId="0" applyFont="1" applyFill="1" applyBorder="1" applyAlignment="1">
      <alignment horizontal="center" vertical="top" wrapText="1"/>
    </xf>
    <xf numFmtId="0" fontId="2" fillId="6" borderId="1" xfId="0" applyFont="1" applyFill="1" applyBorder="1" applyAlignment="1">
      <alignment horizontal="left" vertical="top" wrapText="1"/>
    </xf>
    <xf numFmtId="0" fontId="3" fillId="7" borderId="1" xfId="0" applyFont="1" applyFill="1" applyBorder="1" applyAlignment="1">
      <alignment horizontal="center" vertical="top" wrapText="1"/>
    </xf>
    <xf numFmtId="0" fontId="2" fillId="7" borderId="1" xfId="0" applyFont="1" applyFill="1" applyBorder="1" applyAlignment="1">
      <alignment horizontal="left" vertical="top" wrapText="1"/>
    </xf>
    <xf numFmtId="0" fontId="3" fillId="0" borderId="0" xfId="0" applyFont="1" applyAlignment="1">
      <alignment horizontal="right"/>
    </xf>
    <xf numFmtId="0" fontId="3" fillId="8" borderId="1" xfId="0" applyFont="1" applyFill="1" applyBorder="1" applyAlignment="1">
      <alignment horizontal="center"/>
    </xf>
    <xf numFmtId="0" fontId="2" fillId="0" borderId="0" xfId="0" applyFont="1"/>
    <xf numFmtId="0" fontId="3" fillId="9" borderId="1" xfId="0" applyFont="1" applyFill="1" applyBorder="1" applyAlignment="1">
      <alignment horizontal="center"/>
    </xf>
    <xf numFmtId="0" fontId="3" fillId="10" borderId="1" xfId="0" applyFont="1" applyFill="1" applyBorder="1" applyAlignment="1">
      <alignment horizontal="center"/>
    </xf>
    <xf numFmtId="0" fontId="3" fillId="0" borderId="0" xfId="0" applyFont="1"/>
    <xf numFmtId="0" fontId="0" fillId="6" borderId="1" xfId="0" applyFill="1" applyBorder="1" applyAlignment="1">
      <alignment vertical="top" wrapText="1" indent="1"/>
    </xf>
    <xf numFmtId="0" fontId="1" fillId="11" borderId="0" xfId="0" applyFont="1" applyFill="1" applyAlignment="1">
      <alignment vertical="center" indent="1"/>
    </xf>
    <xf numFmtId="0" fontId="5" fillId="0" borderId="1" xfId="0" applyFont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</cellXfs>
  <cellStyles count="1">
    <cellStyle name="Normal" xfId="0" builtinId="0"/>
  </cellStyles>
  <dxfs count="3">
    <dxf>
      <font>
        <b/>
        <color rgb="FF006100"/>
      </font>
      <fill>
        <patternFill patternType="solid">
          <bgColor rgb="FFC6EF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6500"/>
      </font>
      <fill>
        <patternFill patternType="solid"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F5597"/>
    <pageSetUpPr fitToPage="1"/>
  </sheetPr>
  <dimension ref="A1:B51"/>
  <sheetFormatPr defaultRowHeight="15" outlineLevelRow="0" outlineLevelCol="0" x14ac:dyDescent="55"/>
  <cols>
    <col min="1" max="1" width="44" customWidth="1"/>
    <col min="2" max="2" width="104" customWidth="1"/>
  </cols>
  <sheetData>
    <row r="1" ht="26" customHeight="1" spans="1:2" x14ac:dyDescent="0.25">
      <c r="A1" s="1" t="s">
        <v>0</v>
      </c>
      <c r="B1" s="1"/>
    </row>
    <row r="2" spans="1:2" x14ac:dyDescent="0.25">
      <c r="A2" s="2" t="s">
        <v>1</v>
      </c>
      <c r="B2" s="2" t="s">
        <v>1</v>
      </c>
    </row>
    <row r="3" spans="1:2" x14ac:dyDescent="0.25">
      <c r="A3" s="3" t="s">
        <v>2</v>
      </c>
      <c r="B3" s="2" t="s">
        <v>3</v>
      </c>
    </row>
    <row r="4" spans="1:2" x14ac:dyDescent="0.25">
      <c r="A4" s="3" t="s">
        <v>4</v>
      </c>
      <c r="B4" s="2" t="s">
        <v>5</v>
      </c>
    </row>
    <row r="5" spans="1:2" x14ac:dyDescent="0.25">
      <c r="A5" s="3" t="s">
        <v>6</v>
      </c>
      <c r="B5" s="2" t="s">
        <v>7</v>
      </c>
    </row>
    <row r="6" spans="1:2" x14ac:dyDescent="0.25">
      <c r="A6" s="3" t="s">
        <v>8</v>
      </c>
      <c r="B6" s="2" t="s">
        <v>9</v>
      </c>
    </row>
    <row r="7" spans="1:2" x14ac:dyDescent="0.25">
      <c r="A7" s="2" t="s">
        <v>1</v>
      </c>
      <c r="B7" s="2" t="s">
        <v>1</v>
      </c>
    </row>
    <row r="8" spans="1:2" x14ac:dyDescent="0.25">
      <c r="A8" s="4" t="s">
        <v>10</v>
      </c>
      <c r="B8" s="5" t="s">
        <v>1</v>
      </c>
    </row>
    <row r="9" spans="1:2" x14ac:dyDescent="0.25">
      <c r="A9" s="2" t="s">
        <v>1</v>
      </c>
      <c r="B9" s="2" t="s">
        <v>11</v>
      </c>
    </row>
    <row r="10" spans="1:2" x14ac:dyDescent="0.25">
      <c r="A10" s="2" t="s">
        <v>1</v>
      </c>
      <c r="B10" s="2" t="s">
        <v>12</v>
      </c>
    </row>
    <row r="11" spans="1:2" x14ac:dyDescent="0.25">
      <c r="A11" s="2" t="s">
        <v>1</v>
      </c>
      <c r="B11" s="2" t="s">
        <v>13</v>
      </c>
    </row>
    <row r="12" spans="1:2" x14ac:dyDescent="0.25">
      <c r="A12" s="2" t="s">
        <v>1</v>
      </c>
      <c r="B12" s="2" t="s">
        <v>14</v>
      </c>
    </row>
    <row r="13" spans="1:2" x14ac:dyDescent="0.25">
      <c r="A13" s="2" t="s">
        <v>1</v>
      </c>
      <c r="B13" s="2" t="s">
        <v>15</v>
      </c>
    </row>
    <row r="14" spans="1:2" x14ac:dyDescent="0.25">
      <c r="A14" s="2" t="s">
        <v>1</v>
      </c>
      <c r="B14" s="2" t="s">
        <v>16</v>
      </c>
    </row>
    <row r="15" spans="1:2" x14ac:dyDescent="0.25">
      <c r="A15" s="2" t="s">
        <v>1</v>
      </c>
      <c r="B15" s="2" t="s">
        <v>17</v>
      </c>
    </row>
    <row r="16" spans="1:2" x14ac:dyDescent="0.25">
      <c r="A16" s="2" t="s">
        <v>1</v>
      </c>
      <c r="B16" s="2" t="s">
        <v>18</v>
      </c>
    </row>
    <row r="17" spans="1:2" x14ac:dyDescent="0.25">
      <c r="A17" s="2" t="s">
        <v>1</v>
      </c>
      <c r="B17" s="2" t="s">
        <v>1</v>
      </c>
    </row>
    <row r="18" spans="1:2" x14ac:dyDescent="0.25">
      <c r="A18" s="4" t="s">
        <v>19</v>
      </c>
      <c r="B18" s="5" t="s">
        <v>1</v>
      </c>
    </row>
    <row r="19" spans="1:2" x14ac:dyDescent="0.25">
      <c r="A19" s="2" t="s">
        <v>1</v>
      </c>
      <c r="B19" s="2" t="s">
        <v>20</v>
      </c>
    </row>
    <row r="20" spans="1:2" x14ac:dyDescent="0.25">
      <c r="A20" s="2" t="s">
        <v>1</v>
      </c>
      <c r="B20" s="2" t="s">
        <v>21</v>
      </c>
    </row>
    <row r="21" spans="1:2" x14ac:dyDescent="0.25">
      <c r="A21" s="2" t="s">
        <v>1</v>
      </c>
      <c r="B21" s="2" t="s">
        <v>22</v>
      </c>
    </row>
    <row r="22" spans="1:2" x14ac:dyDescent="0.25">
      <c r="A22" s="2" t="s">
        <v>1</v>
      </c>
      <c r="B22" s="2" t="s">
        <v>23</v>
      </c>
    </row>
    <row r="23" spans="1:2" x14ac:dyDescent="0.25">
      <c r="A23" s="2" t="s">
        <v>1</v>
      </c>
      <c r="B23" s="2" t="s">
        <v>24</v>
      </c>
    </row>
    <row r="24" spans="1:2" x14ac:dyDescent="0.25">
      <c r="A24" s="2" t="s">
        <v>1</v>
      </c>
      <c r="B24" s="2" t="s">
        <v>1</v>
      </c>
    </row>
    <row r="25" spans="1:2" x14ac:dyDescent="0.25">
      <c r="A25" s="4" t="s">
        <v>25</v>
      </c>
      <c r="B25" s="5" t="s">
        <v>1</v>
      </c>
    </row>
    <row r="26" spans="1:2" x14ac:dyDescent="0.25">
      <c r="A26" s="2" t="s">
        <v>1</v>
      </c>
      <c r="B26" s="2" t="s">
        <v>26</v>
      </c>
    </row>
    <row r="27" spans="1:2" x14ac:dyDescent="0.25">
      <c r="A27" s="2" t="s">
        <v>1</v>
      </c>
      <c r="B27" s="2" t="s">
        <v>27</v>
      </c>
    </row>
    <row r="28" spans="1:2" x14ac:dyDescent="0.25">
      <c r="A28" s="2" t="s">
        <v>1</v>
      </c>
      <c r="B28" s="2" t="s">
        <v>28</v>
      </c>
    </row>
    <row r="29" spans="1:2" x14ac:dyDescent="0.25">
      <c r="A29" s="2" t="s">
        <v>1</v>
      </c>
      <c r="B29" s="2" t="s">
        <v>29</v>
      </c>
    </row>
    <row r="30" spans="1:2" x14ac:dyDescent="0.25">
      <c r="A30" s="2" t="s">
        <v>1</v>
      </c>
      <c r="B30" s="2" t="s">
        <v>30</v>
      </c>
    </row>
    <row r="31" spans="1:2" x14ac:dyDescent="0.25">
      <c r="A31" s="2" t="s">
        <v>1</v>
      </c>
      <c r="B31" s="2" t="s">
        <v>1</v>
      </c>
    </row>
    <row r="32" spans="1:2" x14ac:dyDescent="0.25">
      <c r="A32" s="4" t="s">
        <v>31</v>
      </c>
      <c r="B32" s="5" t="s">
        <v>1</v>
      </c>
    </row>
    <row r="33" spans="1:2" x14ac:dyDescent="0.25">
      <c r="A33" s="3" t="s">
        <v>32</v>
      </c>
      <c r="B33" s="2" t="s">
        <v>33</v>
      </c>
    </row>
    <row r="34" spans="1:2" x14ac:dyDescent="0.25">
      <c r="A34" s="3" t="s">
        <v>34</v>
      </c>
      <c r="B34" s="2" t="s">
        <v>35</v>
      </c>
    </row>
    <row r="35" spans="1:2" x14ac:dyDescent="0.25">
      <c r="A35" s="3" t="s">
        <v>36</v>
      </c>
      <c r="B35" s="2" t="s">
        <v>37</v>
      </c>
    </row>
    <row r="36" spans="1:2" x14ac:dyDescent="0.25">
      <c r="A36" s="3" t="s">
        <v>38</v>
      </c>
      <c r="B36" s="2" t="s">
        <v>39</v>
      </c>
    </row>
    <row r="37" spans="1:2" x14ac:dyDescent="0.25">
      <c r="A37" s="2" t="s">
        <v>1</v>
      </c>
      <c r="B37" s="2" t="s">
        <v>40</v>
      </c>
    </row>
    <row r="38" spans="1:2" x14ac:dyDescent="0.25">
      <c r="A38" s="2" t="s">
        <v>1</v>
      </c>
      <c r="B38" s="2" t="s">
        <v>1</v>
      </c>
    </row>
    <row r="39" spans="1:2" x14ac:dyDescent="0.25">
      <c r="A39" s="4" t="s">
        <v>41</v>
      </c>
      <c r="B39" s="5" t="s">
        <v>1</v>
      </c>
    </row>
    <row r="40" spans="1:2" x14ac:dyDescent="0.25">
      <c r="A40" s="2" t="s">
        <v>1</v>
      </c>
      <c r="B40" s="2" t="s">
        <v>42</v>
      </c>
    </row>
    <row r="41" spans="1:2" x14ac:dyDescent="0.25">
      <c r="A41" s="2" t="s">
        <v>1</v>
      </c>
      <c r="B41" s="2" t="s">
        <v>43</v>
      </c>
    </row>
    <row r="42" spans="1:2" x14ac:dyDescent="0.25">
      <c r="A42" s="2" t="s">
        <v>1</v>
      </c>
      <c r="B42" s="2" t="s">
        <v>44</v>
      </c>
    </row>
    <row r="43" spans="1:2" x14ac:dyDescent="0.25">
      <c r="A43" s="2" t="s">
        <v>1</v>
      </c>
      <c r="B43" s="2" t="s">
        <v>45</v>
      </c>
    </row>
    <row r="44" spans="1:2" x14ac:dyDescent="0.25">
      <c r="A44" s="2" t="s">
        <v>1</v>
      </c>
      <c r="B44" s="2" t="s">
        <v>46</v>
      </c>
    </row>
    <row r="45" spans="1:2" x14ac:dyDescent="0.25">
      <c r="A45" s="2" t="s">
        <v>1</v>
      </c>
      <c r="B45" s="2" t="s">
        <v>47</v>
      </c>
    </row>
    <row r="46" spans="1:2" x14ac:dyDescent="0.25">
      <c r="A46" s="2" t="s">
        <v>1</v>
      </c>
      <c r="B46" s="2" t="s">
        <v>48</v>
      </c>
    </row>
    <row r="47" spans="1:2" x14ac:dyDescent="0.25">
      <c r="A47" s="2" t="s">
        <v>1</v>
      </c>
      <c r="B47" s="2" t="s">
        <v>1</v>
      </c>
    </row>
    <row r="48" spans="1:2" x14ac:dyDescent="0.25">
      <c r="A48" s="4" t="s">
        <v>49</v>
      </c>
      <c r="B48" s="5" t="s">
        <v>1</v>
      </c>
    </row>
    <row r="49" spans="1:2" x14ac:dyDescent="0.25">
      <c r="A49" s="2" t="s">
        <v>1</v>
      </c>
      <c r="B49" s="2" t="s">
        <v>50</v>
      </c>
    </row>
    <row r="50" spans="1:2" x14ac:dyDescent="0.25">
      <c r="A50" s="2" t="s">
        <v>1</v>
      </c>
      <c r="B50" s="2" t="s">
        <v>51</v>
      </c>
    </row>
    <row r="51" spans="1:2" x14ac:dyDescent="0.25">
      <c r="A51" s="2" t="s">
        <v>1</v>
      </c>
      <c r="B51" s="2" t="s">
        <v>52</v>
      </c>
    </row>
  </sheetData>
  <mergeCells count="1">
    <mergeCell ref="A1:B1"/>
  </mergeCells>
  <pageSetup paperSize="9" orientation="portrait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7"/>
  <sheetViews>
    <sheetView workbookViewId="0">
      <pane xSplit="1" ySplit="5" topLeftCell="B6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30" customWidth="1"/>
    <col min="3" max="3" width="46" customWidth="1"/>
    <col min="4" max="4" width="38" customWidth="1"/>
    <col min="5" max="5" width="52" customWidth="1"/>
    <col min="6" max="6" width="14" customWidth="1"/>
    <col min="7" max="7" width="38" customWidth="1"/>
    <col min="8" max="8" width="16" customWidth="1"/>
  </cols>
  <sheetData>
    <row r="1" ht="26" customHeight="1" spans="1:8" x14ac:dyDescent="0.25">
      <c r="A1" s="6" t="s">
        <v>53</v>
      </c>
      <c r="B1" s="6"/>
      <c r="C1" s="6"/>
      <c r="D1" s="6"/>
      <c r="E1" s="6"/>
      <c r="F1" s="6"/>
      <c r="G1" s="6"/>
      <c r="H1" s="6"/>
    </row>
    <row r="2" spans="1:8" x14ac:dyDescent="0.25">
      <c r="A2" s="7" t="s">
        <v>54</v>
      </c>
      <c r="B2" s="7"/>
      <c r="C2" s="7"/>
      <c r="D2" s="7"/>
      <c r="E2" s="7"/>
      <c r="F2" s="7"/>
      <c r="G2" s="7"/>
      <c r="H2" s="7"/>
    </row>
    <row r="3" ht="261" customHeight="1" spans="1:8" x14ac:dyDescent="0.25">
      <c r="A3" s="8" t="s">
        <v>55</v>
      </c>
      <c r="B3" s="8"/>
      <c r="C3" s="8"/>
      <c r="D3" s="8"/>
      <c r="E3" s="8"/>
      <c r="F3" s="8"/>
      <c r="G3" s="8"/>
      <c r="H3" s="8"/>
    </row>
    <row r="4" ht="6" customHeight="1" x14ac:dyDescent="0.25"/>
    <row r="5" ht="22" customHeight="1" spans="1:8" x14ac:dyDescent="0.25">
      <c r="A5" s="9" t="s">
        <v>56</v>
      </c>
      <c r="B5" s="9" t="s">
        <v>57</v>
      </c>
      <c r="C5" s="9" t="s">
        <v>58</v>
      </c>
      <c r="D5" s="9" t="s">
        <v>59</v>
      </c>
      <c r="E5" s="9" t="s">
        <v>60</v>
      </c>
      <c r="F5" s="10" t="s">
        <v>61</v>
      </c>
      <c r="G5" s="10" t="s">
        <v>62</v>
      </c>
      <c r="H5" s="10" t="s">
        <v>63</v>
      </c>
    </row>
    <row r="6" ht="58" customHeight="1" spans="1:8" x14ac:dyDescent="0.25">
      <c r="A6" s="11" t="s">
        <v>64</v>
      </c>
      <c r="B6" s="12" t="s">
        <v>65</v>
      </c>
      <c r="C6" s="12" t="s">
        <v>66</v>
      </c>
      <c r="D6" s="12" t="s">
        <v>67</v>
      </c>
      <c r="E6" s="12" t="s">
        <v>68</v>
      </c>
      <c r="F6" s="13" t="s">
        <v>1</v>
      </c>
      <c r="G6" s="14" t="s">
        <v>1</v>
      </c>
      <c r="H6" s="14" t="s">
        <v>1</v>
      </c>
    </row>
    <row r="7" ht="71" customHeight="1" spans="1:8" x14ac:dyDescent="0.25">
      <c r="A7" s="15" t="s">
        <v>69</v>
      </c>
      <c r="B7" s="16" t="s">
        <v>70</v>
      </c>
      <c r="C7" s="16" t="s">
        <v>71</v>
      </c>
      <c r="D7" s="16" t="s">
        <v>72</v>
      </c>
      <c r="E7" s="16" t="s">
        <v>73</v>
      </c>
      <c r="F7" s="13" t="s">
        <v>1</v>
      </c>
      <c r="G7" s="14" t="s">
        <v>1</v>
      </c>
      <c r="H7" s="14" t="s">
        <v>1</v>
      </c>
    </row>
    <row r="8" ht="58" customHeight="1" spans="1:8" x14ac:dyDescent="0.25">
      <c r="A8" s="11" t="s">
        <v>74</v>
      </c>
      <c r="B8" s="12" t="s">
        <v>75</v>
      </c>
      <c r="C8" s="12" t="s">
        <v>76</v>
      </c>
      <c r="D8" s="12" t="s">
        <v>77</v>
      </c>
      <c r="E8" s="12" t="s">
        <v>78</v>
      </c>
      <c r="F8" s="13" t="s">
        <v>1</v>
      </c>
      <c r="G8" s="14" t="s">
        <v>1</v>
      </c>
      <c r="H8" s="14" t="s">
        <v>1</v>
      </c>
    </row>
    <row r="9" ht="58" customHeight="1" spans="1:8" x14ac:dyDescent="0.25">
      <c r="A9" s="15" t="s">
        <v>79</v>
      </c>
      <c r="B9" s="16" t="s">
        <v>80</v>
      </c>
      <c r="C9" s="16" t="s">
        <v>81</v>
      </c>
      <c r="D9" s="16" t="s">
        <v>82</v>
      </c>
      <c r="E9" s="16" t="s">
        <v>83</v>
      </c>
      <c r="F9" s="13" t="s">
        <v>1</v>
      </c>
      <c r="G9" s="14" t="s">
        <v>1</v>
      </c>
      <c r="H9" s="14" t="s">
        <v>1</v>
      </c>
    </row>
    <row r="10" ht="84" customHeight="1" spans="1:8" x14ac:dyDescent="0.25">
      <c r="A10" s="11" t="s">
        <v>84</v>
      </c>
      <c r="B10" s="12" t="s">
        <v>85</v>
      </c>
      <c r="C10" s="12" t="s">
        <v>86</v>
      </c>
      <c r="D10" s="12" t="s">
        <v>87</v>
      </c>
      <c r="E10" s="12" t="s">
        <v>88</v>
      </c>
      <c r="F10" s="13" t="s">
        <v>1</v>
      </c>
      <c r="G10" s="14" t="s">
        <v>1</v>
      </c>
      <c r="H10" s="14" t="s">
        <v>1</v>
      </c>
    </row>
    <row r="11" ht="58" customHeight="1" spans="1:8" x14ac:dyDescent="0.25">
      <c r="A11" s="15" t="s">
        <v>89</v>
      </c>
      <c r="B11" s="16" t="s">
        <v>90</v>
      </c>
      <c r="C11" s="16" t="s">
        <v>91</v>
      </c>
      <c r="D11" s="16" t="s">
        <v>92</v>
      </c>
      <c r="E11" s="16" t="s">
        <v>93</v>
      </c>
      <c r="F11" s="13" t="s">
        <v>1</v>
      </c>
      <c r="G11" s="14" t="s">
        <v>1</v>
      </c>
      <c r="H11" s="14" t="s">
        <v>1</v>
      </c>
    </row>
    <row r="12" ht="58" customHeight="1" spans="1:8" x14ac:dyDescent="0.25">
      <c r="A12" s="11" t="s">
        <v>94</v>
      </c>
      <c r="B12" s="12" t="s">
        <v>95</v>
      </c>
      <c r="C12" s="12" t="s">
        <v>96</v>
      </c>
      <c r="D12" s="12" t="s">
        <v>97</v>
      </c>
      <c r="E12" s="12" t="s">
        <v>98</v>
      </c>
      <c r="F12" s="13" t="s">
        <v>1</v>
      </c>
      <c r="G12" s="14" t="s">
        <v>1</v>
      </c>
      <c r="H12" s="14" t="s">
        <v>1</v>
      </c>
    </row>
    <row r="14" spans="5:7" x14ac:dyDescent="0.25">
      <c r="E14" s="17" t="s">
        <v>99</v>
      </c>
      <c r="F14" s="18">
        <f>COUNTIF(F6:F12,"OK")</f>
      </c>
      <c r="G14" s="19" t="s">
        <v>100</v>
      </c>
    </row>
    <row r="15" spans="6:7" x14ac:dyDescent="0.25">
      <c r="F15" s="20">
        <f>COUNTIF(F6:F12,"NOK")</f>
      </c>
      <c r="G15" s="19" t="s">
        <v>101</v>
      </c>
    </row>
    <row r="16" spans="6:7" x14ac:dyDescent="0.25">
      <c r="F16" s="21">
        <f>COUNTIF(F6:F12,"blockiert")</f>
      </c>
      <c r="G16" s="19" t="s">
        <v>102</v>
      </c>
    </row>
    <row r="18" spans="1:1" x14ac:dyDescent="0.25">
      <c r="A18" s="22" t="s">
        <v>103</v>
      </c>
    </row>
    <row r="19" spans="1:8" x14ac:dyDescent="0.25">
      <c r="A19" s="23"/>
      <c r="B19" s="23"/>
      <c r="C19" s="23"/>
      <c r="D19" s="23"/>
      <c r="E19" s="23"/>
      <c r="F19" s="23"/>
      <c r="G19" s="23"/>
      <c r="H19" s="23"/>
    </row>
    <row r="20" spans="1:8" x14ac:dyDescent="0.25">
      <c r="A20" s="23"/>
      <c r="B20" s="23"/>
      <c r="C20" s="23"/>
      <c r="D20" s="23"/>
      <c r="E20" s="23"/>
      <c r="F20" s="23"/>
      <c r="G20" s="23"/>
      <c r="H20" s="23"/>
    </row>
    <row r="21" spans="1:8" x14ac:dyDescent="0.25">
      <c r="A21" s="23"/>
      <c r="B21" s="23"/>
      <c r="C21" s="23"/>
      <c r="D21" s="23"/>
      <c r="E21" s="23"/>
      <c r="F21" s="23"/>
      <c r="G21" s="23"/>
      <c r="H21" s="23"/>
    </row>
    <row r="22" spans="1:8" x14ac:dyDescent="0.25">
      <c r="A22" s="23"/>
      <c r="B22" s="23"/>
      <c r="C22" s="23"/>
      <c r="D22" s="23"/>
      <c r="E22" s="23"/>
      <c r="F22" s="23"/>
      <c r="G22" s="23"/>
      <c r="H22" s="23"/>
    </row>
    <row r="24" spans="1:1" x14ac:dyDescent="0.25">
      <c r="A24" s="22" t="s">
        <v>104</v>
      </c>
    </row>
    <row r="25" spans="1:8" x14ac:dyDescent="0.25">
      <c r="A25" s="23"/>
      <c r="B25" s="23"/>
      <c r="C25" s="23"/>
      <c r="D25" s="23"/>
      <c r="E25" s="23"/>
      <c r="F25" s="23"/>
      <c r="G25" s="23"/>
      <c r="H25" s="23"/>
    </row>
    <row r="26" spans="1:8" x14ac:dyDescent="0.25">
      <c r="A26" s="23"/>
      <c r="B26" s="23"/>
      <c r="C26" s="23"/>
      <c r="D26" s="23"/>
      <c r="E26" s="23"/>
      <c r="F26" s="23"/>
      <c r="G26" s="23"/>
      <c r="H26" s="23"/>
    </row>
    <row r="27" spans="1:8" x14ac:dyDescent="0.25">
      <c r="A27" s="23"/>
      <c r="B27" s="23"/>
      <c r="C27" s="23"/>
      <c r="D27" s="23"/>
      <c r="E27" s="23"/>
      <c r="F27" s="23"/>
      <c r="G27" s="23"/>
      <c r="H27" s="23"/>
    </row>
  </sheetData>
  <autoFilter ref="A5:H12"/>
  <mergeCells count="5">
    <mergeCell ref="A1:H1"/>
    <mergeCell ref="A2:H2"/>
    <mergeCell ref="A3:H3"/>
    <mergeCell ref="A19:H22"/>
    <mergeCell ref="A25:H27"/>
  </mergeCells>
  <conditionalFormatting sqref="F6:F12">
    <cfRule type="cellIs" dxfId="0" priority="1" operator="equal">
      <formula>"OK"</formula>
    </cfRule>
    <cfRule type="cellIs" dxfId="1" priority="2" operator="equal">
      <formula>"NOK"</formula>
    </cfRule>
    <cfRule type="cellIs" dxfId="2" priority="3" operator="equal">
      <formula>"blockiert"</formula>
    </cfRule>
  </conditionalFormatting>
  <dataValidations count="2">
    <dataValidation type="list" allowBlank="1" showErrorMessage="1" errorTitle="Nur diese vier Werte" error="Bitte OK, NOK, blockiert oder offen waehlen." sqref="F10:F12">
      <formula1>"OK,NOK,blockiert,offen"</formula1>
    </dataValidation>
    <dataValidation type="list" allowBlank="1" showErrorMessage="1" errorTitle="Nur diese vier Werte" error="Bitte OK, NOK, blockiert oder offen waehlen." sqref="F6:F12">
      <formula1>"OK,NOK,blockiert,offen"</formula1>
    </dataValidation>
  </dataValidations>
  <pageMargins left="0.3" right="0.3" top="0.4" bottom="0.4" header="0.2" footer="0.2"/>
  <pageSetup paperSize="9" orientation="landscape" fitToWidth="1" fitToHeight="0"/>
  <headerFooter>
    <oddFooter>&amp;LDamicon Testfaelle - Rolle: Admin&amp;RSeite &amp;P von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  <pageSetUpPr fitToPage="1"/>
  </sheetPr>
  <dimension ref="A1:H40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4" customWidth="1"/>
    <col min="3" max="3" width="18" customWidth="1"/>
    <col min="4" max="4" width="14" customWidth="1"/>
    <col min="5" max="5" width="50" customWidth="1"/>
    <col min="6" max="6" width="44" customWidth="1"/>
    <col min="7" max="7" width="20" customWidth="1"/>
    <col min="8" max="8" width="16" customWidth="1"/>
  </cols>
  <sheetData>
    <row r="1" ht="26" customHeight="1" spans="1:8" x14ac:dyDescent="0.25">
      <c r="A1" s="24" t="s">
        <v>105</v>
      </c>
      <c r="B1" s="24"/>
      <c r="C1" s="24"/>
      <c r="D1" s="24"/>
      <c r="E1" s="24"/>
      <c r="F1" s="24"/>
      <c r="G1" s="24"/>
      <c r="H1" s="24"/>
    </row>
    <row r="3" ht="22" customHeight="1" spans="1:8" x14ac:dyDescent="0.25">
      <c r="A3" s="9" t="s">
        <v>56</v>
      </c>
      <c r="B3" s="9" t="s">
        <v>106</v>
      </c>
      <c r="C3" s="9" t="s">
        <v>107</v>
      </c>
      <c r="D3" s="9" t="s">
        <v>108</v>
      </c>
      <c r="E3" s="9" t="s">
        <v>109</v>
      </c>
      <c r="F3" s="9" t="s">
        <v>110</v>
      </c>
      <c r="G3" s="9" t="s">
        <v>111</v>
      </c>
      <c r="H3" s="9" t="s">
        <v>112</v>
      </c>
    </row>
    <row r="4" ht="46" customHeight="1" spans="1:8" x14ac:dyDescent="0.25">
      <c r="A4" s="25" t="s">
        <v>113</v>
      </c>
      <c r="B4" s="25" t="s">
        <v>114</v>
      </c>
      <c r="C4" s="25" t="s">
        <v>115</v>
      </c>
      <c r="D4" s="25" t="s">
        <v>32</v>
      </c>
      <c r="E4" s="25" t="s">
        <v>116</v>
      </c>
      <c r="F4" s="25" t="s">
        <v>117</v>
      </c>
      <c r="G4" s="25" t="s">
        <v>118</v>
      </c>
      <c r="H4" s="25" t="s">
        <v>119</v>
      </c>
    </row>
    <row r="5" spans="1:8" x14ac:dyDescent="0.25">
      <c r="A5" s="26"/>
      <c r="B5" s="26"/>
      <c r="C5" s="26"/>
      <c r="D5" s="26"/>
      <c r="E5" s="26"/>
      <c r="F5" s="26"/>
      <c r="G5" s="26"/>
      <c r="H5" s="26"/>
    </row>
    <row r="6" spans="1:8" x14ac:dyDescent="0.25">
      <c r="A6" s="26"/>
      <c r="B6" s="26"/>
      <c r="C6" s="26"/>
      <c r="D6" s="26"/>
      <c r="E6" s="26"/>
      <c r="F6" s="26"/>
      <c r="G6" s="26"/>
      <c r="H6" s="26"/>
    </row>
    <row r="7" spans="1:8" x14ac:dyDescent="0.25">
      <c r="A7" s="26"/>
      <c r="B7" s="26"/>
      <c r="C7" s="26"/>
      <c r="D7" s="26"/>
      <c r="E7" s="26"/>
      <c r="F7" s="26"/>
      <c r="G7" s="26"/>
      <c r="H7" s="26"/>
    </row>
    <row r="8" spans="1:8" x14ac:dyDescent="0.25">
      <c r="A8" s="26"/>
      <c r="B8" s="26"/>
      <c r="C8" s="26"/>
      <c r="D8" s="26"/>
      <c r="E8" s="26"/>
      <c r="F8" s="26"/>
      <c r="G8" s="26"/>
      <c r="H8" s="26"/>
    </row>
    <row r="9" spans="1:8" x14ac:dyDescent="0.25">
      <c r="A9" s="26"/>
      <c r="B9" s="26"/>
      <c r="C9" s="26"/>
      <c r="D9" s="26"/>
      <c r="E9" s="26"/>
      <c r="F9" s="26"/>
      <c r="G9" s="26"/>
      <c r="H9" s="26"/>
    </row>
    <row r="10" spans="1:8" x14ac:dyDescent="0.25">
      <c r="A10" s="26"/>
      <c r="B10" s="26"/>
      <c r="C10" s="26"/>
      <c r="D10" s="26"/>
      <c r="E10" s="26"/>
      <c r="F10" s="26"/>
      <c r="G10" s="26"/>
      <c r="H10" s="26"/>
    </row>
    <row r="11" spans="1:8" x14ac:dyDescent="0.25">
      <c r="A11" s="26"/>
      <c r="B11" s="26"/>
      <c r="C11" s="26"/>
      <c r="D11" s="26"/>
      <c r="E11" s="26"/>
      <c r="F11" s="26"/>
      <c r="G11" s="26"/>
      <c r="H11" s="26"/>
    </row>
    <row r="12" spans="1:8" x14ac:dyDescent="0.25">
      <c r="A12" s="26"/>
      <c r="B12" s="26"/>
      <c r="C12" s="26"/>
      <c r="D12" s="26"/>
      <c r="E12" s="26"/>
      <c r="F12" s="26"/>
      <c r="G12" s="26"/>
      <c r="H12" s="26"/>
    </row>
    <row r="13" spans="1:8" x14ac:dyDescent="0.25">
      <c r="A13" s="26"/>
      <c r="B13" s="26"/>
      <c r="C13" s="26"/>
      <c r="D13" s="26"/>
      <c r="E13" s="26"/>
      <c r="F13" s="26"/>
      <c r="G13" s="26"/>
      <c r="H13" s="26"/>
    </row>
    <row r="14" spans="1:8" x14ac:dyDescent="0.25">
      <c r="A14" s="26"/>
      <c r="B14" s="26"/>
      <c r="C14" s="26"/>
      <c r="D14" s="26"/>
      <c r="E14" s="26"/>
      <c r="F14" s="26"/>
      <c r="G14" s="26"/>
      <c r="H14" s="26"/>
    </row>
    <row r="15" spans="1:8" x14ac:dyDescent="0.25">
      <c r="A15" s="26"/>
      <c r="B15" s="26"/>
      <c r="C15" s="26"/>
      <c r="D15" s="26"/>
      <c r="E15" s="26"/>
      <c r="F15" s="26"/>
      <c r="G15" s="26"/>
      <c r="H15" s="26"/>
    </row>
    <row r="16" spans="1:8" x14ac:dyDescent="0.25">
      <c r="A16" s="26"/>
      <c r="B16" s="26"/>
      <c r="C16" s="26"/>
      <c r="D16" s="26"/>
      <c r="E16" s="26"/>
      <c r="F16" s="26"/>
      <c r="G16" s="26"/>
      <c r="H16" s="26"/>
    </row>
    <row r="17" spans="1:8" x14ac:dyDescent="0.25">
      <c r="A17" s="26"/>
      <c r="B17" s="26"/>
      <c r="C17" s="26"/>
      <c r="D17" s="26"/>
      <c r="E17" s="26"/>
      <c r="F17" s="26"/>
      <c r="G17" s="26"/>
      <c r="H17" s="26"/>
    </row>
    <row r="18" spans="1:8" x14ac:dyDescent="0.25">
      <c r="A18" s="26"/>
      <c r="B18" s="26"/>
      <c r="C18" s="26"/>
      <c r="D18" s="26"/>
      <c r="E18" s="26"/>
      <c r="F18" s="26"/>
      <c r="G18" s="26"/>
      <c r="H18" s="26"/>
    </row>
    <row r="19" spans="1:8" x14ac:dyDescent="0.25">
      <c r="A19" s="26"/>
      <c r="B19" s="26"/>
      <c r="C19" s="26"/>
      <c r="D19" s="26"/>
      <c r="E19" s="26"/>
      <c r="F19" s="26"/>
      <c r="G19" s="26"/>
      <c r="H19" s="26"/>
    </row>
    <row r="20" spans="1:8" x14ac:dyDescent="0.25">
      <c r="A20" s="26"/>
      <c r="B20" s="26"/>
      <c r="C20" s="26"/>
      <c r="D20" s="26"/>
      <c r="E20" s="26"/>
      <c r="F20" s="26"/>
      <c r="G20" s="26"/>
      <c r="H20" s="26"/>
    </row>
    <row r="21" spans="1:8" x14ac:dyDescent="0.25">
      <c r="A21" s="26"/>
      <c r="B21" s="26"/>
      <c r="C21" s="26"/>
      <c r="D21" s="26"/>
      <c r="E21" s="26"/>
      <c r="F21" s="26"/>
      <c r="G21" s="26"/>
      <c r="H21" s="26"/>
    </row>
    <row r="22" spans="1:8" x14ac:dyDescent="0.25">
      <c r="A22" s="26"/>
      <c r="B22" s="26"/>
      <c r="C22" s="26"/>
      <c r="D22" s="26"/>
      <c r="E22" s="26"/>
      <c r="F22" s="26"/>
      <c r="G22" s="26"/>
      <c r="H22" s="26"/>
    </row>
    <row r="23" spans="1:8" x14ac:dyDescent="0.25">
      <c r="A23" s="26"/>
      <c r="B23" s="26"/>
      <c r="C23" s="26"/>
      <c r="D23" s="26"/>
      <c r="E23" s="26"/>
      <c r="F23" s="26"/>
      <c r="G23" s="26"/>
      <c r="H23" s="26"/>
    </row>
    <row r="24" spans="1:8" x14ac:dyDescent="0.25">
      <c r="A24" s="26"/>
      <c r="B24" s="26"/>
      <c r="C24" s="26"/>
      <c r="D24" s="26"/>
      <c r="E24" s="26"/>
      <c r="F24" s="26"/>
      <c r="G24" s="26"/>
      <c r="H24" s="26"/>
    </row>
    <row r="25" spans="1:8" x14ac:dyDescent="0.25">
      <c r="A25" s="26"/>
      <c r="B25" s="26"/>
      <c r="C25" s="26"/>
      <c r="D25" s="26"/>
      <c r="E25" s="26"/>
      <c r="F25" s="26"/>
      <c r="G25" s="26"/>
      <c r="H25" s="26"/>
    </row>
    <row r="26" spans="1:8" x14ac:dyDescent="0.25">
      <c r="A26" s="26"/>
      <c r="B26" s="26"/>
      <c r="C26" s="26"/>
      <c r="D26" s="26"/>
      <c r="E26" s="26"/>
      <c r="F26" s="26"/>
      <c r="G26" s="26"/>
      <c r="H26" s="26"/>
    </row>
    <row r="27" spans="1:8" x14ac:dyDescent="0.25">
      <c r="A27" s="26"/>
      <c r="B27" s="26"/>
      <c r="C27" s="26"/>
      <c r="D27" s="26"/>
      <c r="E27" s="26"/>
      <c r="F27" s="26"/>
      <c r="G27" s="26"/>
      <c r="H27" s="26"/>
    </row>
    <row r="28" spans="1:8" x14ac:dyDescent="0.25">
      <c r="A28" s="26"/>
      <c r="B28" s="26"/>
      <c r="C28" s="26"/>
      <c r="D28" s="26"/>
      <c r="E28" s="26"/>
      <c r="F28" s="26"/>
      <c r="G28" s="26"/>
      <c r="H28" s="26"/>
    </row>
    <row r="29" spans="1:8" x14ac:dyDescent="0.25">
      <c r="A29" s="26"/>
      <c r="B29" s="26"/>
      <c r="C29" s="26"/>
      <c r="D29" s="26"/>
      <c r="E29" s="26"/>
      <c r="F29" s="26"/>
      <c r="G29" s="26"/>
      <c r="H29" s="26"/>
    </row>
    <row r="30" spans="1:8" x14ac:dyDescent="0.25">
      <c r="A30" s="26"/>
      <c r="B30" s="26"/>
      <c r="C30" s="26"/>
      <c r="D30" s="26"/>
      <c r="E30" s="26"/>
      <c r="F30" s="26"/>
      <c r="G30" s="26"/>
      <c r="H30" s="26"/>
    </row>
    <row r="31" spans="1:8" x14ac:dyDescent="0.25">
      <c r="A31" s="26"/>
      <c r="B31" s="26"/>
      <c r="C31" s="26"/>
      <c r="D31" s="26"/>
      <c r="E31" s="26"/>
      <c r="F31" s="26"/>
      <c r="G31" s="26"/>
      <c r="H31" s="26"/>
    </row>
    <row r="32" spans="1:8" x14ac:dyDescent="0.25">
      <c r="A32" s="26"/>
      <c r="B32" s="26"/>
      <c r="C32" s="26"/>
      <c r="D32" s="26"/>
      <c r="E32" s="26"/>
      <c r="F32" s="26"/>
      <c r="G32" s="26"/>
      <c r="H32" s="26"/>
    </row>
    <row r="33" spans="1:8" x14ac:dyDescent="0.25">
      <c r="A33" s="26"/>
      <c r="B33" s="26"/>
      <c r="C33" s="26"/>
      <c r="D33" s="26"/>
      <c r="E33" s="26"/>
      <c r="F33" s="26"/>
      <c r="G33" s="26"/>
      <c r="H33" s="26"/>
    </row>
    <row r="34" spans="1:8" x14ac:dyDescent="0.25">
      <c r="A34" s="26"/>
      <c r="B34" s="26"/>
      <c r="C34" s="26"/>
      <c r="D34" s="26"/>
      <c r="E34" s="26"/>
      <c r="F34" s="26"/>
      <c r="G34" s="26"/>
      <c r="H34" s="26"/>
    </row>
    <row r="35" spans="1:8" x14ac:dyDescent="0.25">
      <c r="A35" s="26"/>
      <c r="B35" s="26"/>
      <c r="C35" s="26"/>
      <c r="D35" s="26"/>
      <c r="E35" s="26"/>
      <c r="F35" s="26"/>
      <c r="G35" s="26"/>
      <c r="H35" s="26"/>
    </row>
    <row r="36" spans="1:8" x14ac:dyDescent="0.25">
      <c r="A36" s="26"/>
      <c r="B36" s="26"/>
      <c r="C36" s="26"/>
      <c r="D36" s="26"/>
      <c r="E36" s="26"/>
      <c r="F36" s="26"/>
      <c r="G36" s="26"/>
      <c r="H36" s="26"/>
    </row>
    <row r="37" spans="1:8" x14ac:dyDescent="0.25">
      <c r="A37" s="26"/>
      <c r="B37" s="26"/>
      <c r="C37" s="26"/>
      <c r="D37" s="26"/>
      <c r="E37" s="26"/>
      <c r="F37" s="26"/>
      <c r="G37" s="26"/>
      <c r="H37" s="26"/>
    </row>
    <row r="38" spans="1:8" x14ac:dyDescent="0.25">
      <c r="A38" s="26"/>
      <c r="B38" s="26"/>
      <c r="C38" s="26"/>
      <c r="D38" s="26"/>
      <c r="E38" s="26"/>
      <c r="F38" s="26"/>
      <c r="G38" s="26"/>
      <c r="H38" s="26"/>
    </row>
    <row r="39" spans="1:8" x14ac:dyDescent="0.25">
      <c r="A39" s="26"/>
      <c r="B39" s="26"/>
      <c r="C39" s="26"/>
      <c r="D39" s="26"/>
      <c r="E39" s="26"/>
      <c r="F39" s="26"/>
      <c r="G39" s="26"/>
      <c r="H39" s="26"/>
    </row>
    <row r="40" spans="1:8" x14ac:dyDescent="0.25">
      <c r="A40" s="26"/>
      <c r="B40" s="26"/>
      <c r="C40" s="26"/>
      <c r="D40" s="26"/>
      <c r="E40" s="26"/>
      <c r="F40" s="26"/>
      <c r="G40" s="26"/>
      <c r="H40" s="26"/>
    </row>
  </sheetData>
  <autoFilter ref="A3:H40"/>
  <mergeCells count="1">
    <mergeCell ref="A1:H1"/>
  </mergeCells>
  <dataValidations count="4">
    <dataValidation type="list" allowBlank="1" showErrorMessage="1" sqref="D10:D40">
      <formula1>"S1,S2,S3,S4"</formula1>
    </dataValidation>
    <dataValidation type="list" allowBlank="1" showErrorMessage="1" sqref="D5:D40">
      <formula1>"S1,S2,S3,S4"</formula1>
    </dataValidation>
    <dataValidation type="list" allowBlank="1" showErrorMessage="1" sqref="H10:H40">
      <formula1>"offen,in Arbeit,behoben,kein Fehler"</formula1>
    </dataValidation>
    <dataValidation type="list" allowBlank="1" showErrorMessage="1" sqref="H5:H40">
      <formula1>"offen,in Arbeit,behoben,kein Fehler"</formula1>
    </dataValidation>
  </dataValidations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Anleitung</vt:lpstr>
      <vt:lpstr>Admin</vt:lpstr>
      <vt:lpstr>Funde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Damicon</dc:creator>
  <dc:title/>
  <dc:subject/>
  <dc:description/>
  <cp:keywords/>
  <cp:category/>
  <cp:lastModifiedBy>Unknown</cp:lastModifiedBy>
  <dcterms:created xsi:type="dcterms:W3CDTF">2026-09-20T08:12:05Z</dcterms:created>
  <dcterms:modified xsi:type="dcterms:W3CDTF">2026-09-20T08:12:05Z</dcterms:modified>
</cp:coreProperties>
</file>