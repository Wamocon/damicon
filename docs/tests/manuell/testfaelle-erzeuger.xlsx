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leitung" state="visible" r:id="rId4"/>
    <sheet sheetId="2" name="Erzeuger" state="visible" r:id="rId5"/>
    <sheet sheetId="3" name="Funde" state="visible" r:id="rId6"/>
  </sheets>
  <calcPr calcId="171027" fullCalcOnLoad="1"/>
</workbook>
</file>

<file path=xl/sharedStrings.xml><?xml version="1.0" encoding="utf-8"?>
<sst xmlns="http://schemas.openxmlformats.org/spreadsheetml/2006/main" count="175" uniqueCount="110">
  <si>
    <t>Damicon: Manueller Rollentest</t>
  </si>
  <si>
    <t/>
  </si>
  <si>
    <t>Stand</t>
  </si>
  <si>
    <t>20.09.2026</t>
  </si>
  <si>
    <t>Umfang</t>
  </si>
  <si>
    <t>43 Testfaelle ueber 7 Rollen, davon 11 Negativtests</t>
  </si>
  <si>
    <t>Dauer</t>
  </si>
  <si>
    <t>3 bis 4 Stunden ohne Fehlerverfolgung</t>
  </si>
  <si>
    <t>Umgebung</t>
  </si>
  <si>
    <t>https://damicon.vercel.app/de/dashboard</t>
  </si>
  <si>
    <t>1. VORBEREITUNG</t>
  </si>
  <si>
    <t>Die Instanz verlangt eine ANMELDUNG. Es gibt keine freie Demo-Ansicht.</t>
  </si>
  <si>
    <t>Im Projekt sind sieben Demo-Konten vorgesehen (supabase/seed-auth.mjs), Passwort steht im selben Skript.</t>
  </si>
  <si>
    <t>OB DIESE KONTEN AUF DER VERCEL-INSTANZ EXISTIEREN, IST NICHT GEPRUEFT. Vor Testbeginn klaeren.</t>
  </si>
  <si>
    <t>Fehlen sie: entweder Admin legt sie an, oder lokal im Demo-Modus testen (npm run dev ohne Supabase).</t>
  </si>
  <si>
    <t>ACHTUNG: weder der Demo-Modus noch "Ansicht als" beantworten die Negativtests. Beide aendern nur die Anzeige,</t>
  </si>
  <si>
    <t>nicht die Rechtepruefung der Datenbank. Dafuer muss man sich echt mit dem jeweiligen Konto anmelden.</t>
  </si>
  <si>
    <t>Browser: je Rolle ein eigenes privates Fenster, sonst ueberlagern sich die Anmeldungen.</t>
  </si>
  <si>
    <t>Mobil: Brigade und Pfluecker mindestens je einen Testfall am Handy oder bei 390 px Fensterbreite.</t>
  </si>
  <si>
    <t>2. REIHENFOLGE (vier Faelle bauen aufeinander auf)</t>
  </si>
  <si>
    <t>Admin TF-A2 (Kunden einladen) liefert den Code fuer Kunde TF-K1</t>
  </si>
  <si>
    <t>Betriebsleitung TF-L1 (Aufgabe anlegen) liefert die Aufgabe fuer Brigade TF-B1 bis TF-B3</t>
  </si>
  <si>
    <t>Betriebsleitung TF-L4 (Beleg pruefen) macht sie abrechenbar fuer Buchhaltung TF-F2</t>
  </si>
  <si>
    <t>Kunde TF-K5 (Reklamation) liefert den Vorgang fuer Buchhaltung TF-F6</t>
  </si>
  <si>
    <t>Alle uebrigen Testfaelle sind unabhaengig.</t>
  </si>
  <si>
    <t>3. AUSFUELLEN</t>
  </si>
  <si>
    <t>Spalte Ergebnis: Auswahlliste mit OK / NOK / blockiert / offen. Faerbt sich automatisch.</t>
  </si>
  <si>
    <t>Spalte Beobachtung: nur bei NOK oder blockiert. Was stand am Bildschirm, nicht die Deutung.</t>
  </si>
  <si>
    <t>Spalte Datum/Tester: Kuerzel genuegt.</t>
  </si>
  <si>
    <t>Bei NOK zusaetzlich: Bildschirmfoto als TF-&lt;Nr&gt;.png, Uhrzeit notieren, zweiten Versuch machen.</t>
  </si>
  <si>
    <t>Explorativ: die Schritte sind die Pflicht, nicht die Grenze. Auffaelliges ins Blatt "Funde".</t>
  </si>
  <si>
    <t>4. FEHLERKLASSEN</t>
  </si>
  <si>
    <t>S1</t>
  </si>
  <si>
    <t>Datenverlust, falsche Zahl auf einem Beleg, jemand sieht Fremddaten</t>
  </si>
  <si>
    <t>S2</t>
  </si>
  <si>
    <t>Kernfunktion nicht nutzbar, kein Umweg</t>
  </si>
  <si>
    <t>S3</t>
  </si>
  <si>
    <t>Funktion nutzbar, aber fehlerhaft oder umstaendlich</t>
  </si>
  <si>
    <t>S4</t>
  </si>
  <si>
    <t>Schoenheitsfehler: Tippfehler, Abstand, Farbe</t>
  </si>
  <si>
    <t>Falsche Zahlen in Lohn, Rechnung oder Steuer sind IMMER mindestens S2.</t>
  </si>
  <si>
    <t>5. WAS KEIN FEHLER IST (nicht melden)</t>
  </si>
  <si>
    <t>Lieferschein-ESF und Integrationen sind Platzhalter, es liest und schreibt sie noch nichts.</t>
  </si>
  <si>
    <t>Wetter zeigt die Temperatursumme, trifft bewusst keine Vorhersage.</t>
  </si>
  <si>
    <t>Vorbestellungen bestaetigt das Buero von Hand, es gibt keine Automatik.</t>
  </si>
  <si>
    <t>QR-Steigen kann nur anzeigen und drucken, Steigen entstehen ueber die Pflueckaufgabe.</t>
  </si>
  <si>
    <t>Kanaele sind reine Anzeige, keine echte Anbindung an WhatsApp oder Kaspi.</t>
  </si>
  <si>
    <t>Hinweis "Beispieldaten" = keine Datenbank hinterlegt, Meldung der Umgebung.</t>
  </si>
  <si>
    <t>ABER: Hinweis "Fehler" statt "Beispieldaten" IST zu melden, dann ist eine Abfrage fehlgeschlagen.</t>
  </si>
  <si>
    <t>6. TESTDATEN-HYGIENE</t>
  </si>
  <si>
    <t>Alles selbst Angelegte mit "TEST" im Namen versehen.</t>
  </si>
  <si>
    <t>Nichts loeschen, was vorher schon da war, auch wenn es falsch aussieht.</t>
  </si>
  <si>
    <t>Freigegebene Lohnabrechnungen und Einladungen bleiben stehen, sie sind nachweispflichtig.</t>
  </si>
  <si>
    <t>Damicon Testfaelle - Rolle: Erzeuger (Nachbarbetrieb)</t>
  </si>
  <si>
    <t>Anmeldung als: erzeuger@damicon.demo</t>
  </si>
  <si>
    <t>Ein Nachbarbetrieb, der seine Ware in den Aggregator verkauft. Er sieht die eigenen Lieferungen und die eigene Abrechnung, nicht den Betrieb der anderen.</t>
  </si>
  <si>
    <t>Nr</t>
  </si>
  <si>
    <t>Was geprueft wird</t>
  </si>
  <si>
    <t>Schritte</t>
  </si>
  <si>
    <t>Testdaten (Eingabe)</t>
  </si>
  <si>
    <t>Erwartetes Ergebnis</t>
  </si>
  <si>
    <t>Ergebnis</t>
  </si>
  <si>
    <t>Beobachtung</t>
  </si>
  <si>
    <t>Datum / Tester</t>
  </si>
  <si>
    <t>TF-E1</t>
  </si>
  <si>
    <t>Eigene Lieferungen im Dashboard</t>
  </si>
  <si>
    <t xml:space="preserve">1. Anmelden
2. Dashboard ansehen
3. Navigation durchsehen</t>
  </si>
  <si>
    <t>keine Eingabe</t>
  </si>
  <si>
    <t>Sichtbar sind Dashboard, Reihenbloecke, Pflueckaufgaben, Finanzen, Dokumente, Aggregator, B2B-Portal und Schulungen. Kein Lohn, kein Personal, keine Rollen.</t>
  </si>
  <si>
    <t>TF-E2</t>
  </si>
  <si>
    <t>Nachbarbetrieb aufnehmen</t>
  </si>
  <si>
    <t xml:space="preserve">1. Markt &gt; Aggregator
2. "Nachbarbetrieb aufnehmen"
3. Felder fuellen, absenden</t>
  </si>
  <si>
    <t xml:space="preserve">Name: TEST Nachbarbetrieb Talgar
Ort: Talgar
Ansprechperson: R. Baitulin</t>
  </si>
  <si>
    <t>Der Betrieb erscheint in der Liste und steht danach beim Import in TF-E3 zur Auswahl.</t>
  </si>
  <si>
    <t>TF-E3</t>
  </si>
  <si>
    <t>Zukauf per CSV importieren</t>
  </si>
  <si>
    <t xml:space="preserve">1. Markt &gt; Aggregator
2. "Zukauf importieren"
3. CSV-Daten einfuegen
4. "Pruefen und importieren"</t>
  </si>
  <si>
    <t xml:space="preserve">Nachbarbetrieb Kaskelen;Tulameen;140,5;2026-09-20
Nachbarbetrieb Uzynagash;Polka;88,0;2026-09-20
Nachbarbetrieb Kaskelen;Polana;61,25;2026-09-20
(Trennzeichen und Spaltenfolge an die Vorlage der Seite anpassen)</t>
  </si>
  <si>
    <t>Es erscheint zuerst eine PRUEFUNG, erst danach wird importiert. Summe 289,75 kg auf drei Chargen.</t>
  </si>
  <si>
    <t>TF-E4</t>
  </si>
  <si>
    <t>Fehlerhafte CSV wird abgewiesen (NEGATIVTEST)</t>
  </si>
  <si>
    <t xml:space="preserve">1. Wie TF-E3, aber mit fehlerhafter Zeile
2. "Pruefen und importieren"
3. Danach Liste pruefen: wurde die erste Zeile importiert?</t>
  </si>
  <si>
    <t xml:space="preserve">Nachbarbetrieb Kaskelen;Tulameen;140,5;2026-09-20
Unbekannter Betrieb XYZ;Polka;abc;2026-09-20</t>
  </si>
  <si>
    <t xml:space="preserve">Der Import wird ABGELEHNT mit Hinweis auf die fehlerhafte Zeile (unbekannter Betrieb, Menge keine Zahl). Die erste, korrekte Zeile darf NICHT importiert worden sein, der Vorgang ist ganz oder gar nicht.
Wurde sie importiert: S2.</t>
  </si>
  <si>
    <t>TF-E5</t>
  </si>
  <si>
    <t>Kein Zugriff auf Lohn und Personal (NEGATIVTEST)</t>
  </si>
  <si>
    <t xml:space="preserve">1. Adresse aufrufen: /de/dashboard/buero/lohn
2. Adresse aufrufen: /de/dashboard/buero/personal</t>
  </si>
  <si>
    <t>direkte Adressaufrufe</t>
  </si>
  <si>
    <t xml:space="preserve">Beide enden mit einer Zugriffsmeldung. Ein Nachbarbetrieb darf weder Loehne noch Personal des Hauptbetriebs sehen.
Werden Inhalte angezeigt: S1.</t>
  </si>
  <si>
    <t>Zwischenstand:</t>
  </si>
  <si>
    <t>OK von 5</t>
  </si>
  <si>
    <t>NOK von 5</t>
  </si>
  <si>
    <t>blockiert von 5</t>
  </si>
  <si>
    <t>Freie Funde (alles Auffaellige ausserhalb der Testfaelle):</t>
  </si>
  <si>
    <t>Gesamteindruck in zwei Saetzen: Koennte diese Person damit arbeiten?</t>
  </si>
  <si>
    <t>Fundliste - hier kommen alle NOK und alle freien Funde zusammen</t>
  </si>
  <si>
    <t>Testfall</t>
  </si>
  <si>
    <t>Rolle</t>
  </si>
  <si>
    <t>Klasse S1-S4</t>
  </si>
  <si>
    <t>Was passiert ist</t>
  </si>
  <si>
    <t>Erwartet war</t>
  </si>
  <si>
    <t>Bildschirmfoto</t>
  </si>
  <si>
    <t>Status</t>
  </si>
  <si>
    <t>1</t>
  </si>
  <si>
    <t>TF-P3</t>
  </si>
  <si>
    <t>Pfluecker</t>
  </si>
  <si>
    <t>BEISPIEL - vor Abgabe loeschen: In der Lohnliste erschien neben der eigenen Zeile auch A. Tulegenowa mit 186.400 Tenge netto.</t>
  </si>
  <si>
    <t>Nur die eigene Person darf erscheinen.</t>
  </si>
  <si>
    <t>TF-P3.png</t>
  </si>
  <si>
    <t>offen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</si>
</sst>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4"/>
      <name val="Arial"/>
    </font>
    <font>
      <sz val="10"/>
      <name val="Arial"/>
    </font>
    <font>
      <b/>
      <sz val="10"/>
      <name val="Arial"/>
    </font>
    <font>
      <b/>
      <color rgb="FFFFFFFF"/>
      <sz val="10"/>
      <name val="Arial"/>
    </font>
    <font>
      <i/>
      <color rgb="FF808080"/>
      <sz val="10"/>
      <name val="Arial"/>
    </font>
  </fonts>
  <fills count="12">
    <fill>
      <patternFill patternType="none"/>
    </fill>
    <fill>
      <patternFill patternType="gray125"/>
    </fill>
    <fill>
      <patternFill patternType="solid">
        <fgColor rgb="FF2F5597"/>
      </patternFill>
    </fill>
    <fill>
      <patternFill patternType="solid">
        <fgColor rgb="FFD9E2F3"/>
      </patternFill>
    </fill>
    <fill>
      <patternFill patternType="solid">
        <fgColor rgb="FF4472C4"/>
      </patternFill>
    </fill>
    <fill>
      <patternFill patternType="solid">
        <fgColor rgb="FFBF8F00"/>
      </patternFill>
    </fill>
    <fill>
      <patternFill patternType="solid">
        <fgColor rgb="FFFFF2CC"/>
      </patternFill>
    </fill>
    <fill>
      <patternFill patternType="solid">
        <fgColor rgb="FFF7F9FC"/>
      </patternFill>
    </fill>
    <fill>
      <patternFill patternType="solid">
        <fgColor rgb="FFC6EFCE"/>
      </patternFill>
    </fill>
    <fill>
      <patternFill patternType="solid">
        <fgColor rgb="FFFFC7CE"/>
      </patternFill>
    </fill>
    <fill>
      <patternFill patternType="solid">
        <fgColor rgb="FFFFEB9C"/>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2" borderId="0" xfId="0" applyFont="1" applyFill="1" applyAlignment="1">
      <alignment vertical="center" indent="1"/>
    </xf>
    <xf numFmtId="0" fontId="2"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2" fillId="3" borderId="0" xfId="0" applyFont="1" applyFill="1" applyAlignment="1">
      <alignment vertical="top" wrapText="1"/>
    </xf>
    <xf numFmtId="0" fontId="1" fillId="2" borderId="0" xfId="0" applyFont="1" applyFill="1" applyAlignment="1">
      <alignment horizontal="left" vertical="center" indent="1"/>
    </xf>
    <xf numFmtId="0" fontId="3" fillId="0" borderId="0" xfId="0" applyFont="1" applyAlignment="1">
      <alignment vertical="center" indent="1"/>
    </xf>
    <xf numFmtId="0" fontId="2" fillId="0" borderId="0" xfId="0" applyFont="1" applyAlignment="1">
      <alignment vertical="top" wrapText="1" inden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2" fillId="7" borderId="1" xfId="0" applyFont="1" applyFill="1" applyBorder="1" applyAlignment="1">
      <alignment horizontal="left" vertical="top" wrapText="1"/>
    </xf>
    <xf numFmtId="0" fontId="3" fillId="0" borderId="0" xfId="0" applyFont="1" applyAlignment="1">
      <alignment horizontal="right"/>
    </xf>
    <xf numFmtId="0" fontId="3" fillId="8" borderId="1" xfId="0" applyFont="1" applyFill="1" applyBorder="1" applyAlignment="1">
      <alignment horizontal="center"/>
    </xf>
    <xf numFmtId="0" fontId="2" fillId="0" borderId="0" xfId="0" applyFont="1"/>
    <xf numFmtId="0" fontId="3" fillId="9" borderId="1" xfId="0" applyFont="1" applyFill="1" applyBorder="1" applyAlignment="1">
      <alignment horizontal="center"/>
    </xf>
    <xf numFmtId="0" fontId="3" fillId="10" borderId="1" xfId="0" applyFont="1" applyFill="1" applyBorder="1" applyAlignment="1">
      <alignment horizontal="center"/>
    </xf>
    <xf numFmtId="0" fontId="3" fillId="0" borderId="0" xfId="0" applyFont="1"/>
    <xf numFmtId="0" fontId="0" fillId="6" borderId="1" xfId="0" applyFill="1" applyBorder="1" applyAlignment="1">
      <alignment vertical="top" wrapText="1" indent="1"/>
    </xf>
    <xf numFmtId="0" fontId="1" fillId="11" borderId="0" xfId="0" applyFont="1" applyFill="1" applyAlignment="1">
      <alignment vertical="center" indent="1"/>
    </xf>
    <xf numFmtId="0" fontId="5" fillId="0" borderId="1" xfId="0" applyFont="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3">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597"/>
    <pageSetUpPr fitToPage="1"/>
  </sheetPr>
  <dimension ref="A1:B51"/>
  <sheetFormatPr defaultRowHeight="15" outlineLevelRow="0" outlineLevelCol="0" x14ac:dyDescent="55"/>
  <cols>
    <col min="1" max="1" width="44" customWidth="1"/>
    <col min="2" max="2" width="104" customWidth="1"/>
  </cols>
  <sheetData>
    <row r="1" ht="26" customHeight="1" spans="1:2" x14ac:dyDescent="0.25">
      <c r="A1" s="1" t="s">
        <v>0</v>
      </c>
      <c r="B1" s="1"/>
    </row>
    <row r="2" spans="1:2" x14ac:dyDescent="0.25">
      <c r="A2" s="2" t="s">
        <v>1</v>
      </c>
      <c r="B2" s="2" t="s">
        <v>1</v>
      </c>
    </row>
    <row r="3" spans="1:2" x14ac:dyDescent="0.25">
      <c r="A3" s="3" t="s">
        <v>2</v>
      </c>
      <c r="B3" s="2" t="s">
        <v>3</v>
      </c>
    </row>
    <row r="4" spans="1:2" x14ac:dyDescent="0.25">
      <c r="A4" s="3" t="s">
        <v>4</v>
      </c>
      <c r="B4" s="2" t="s">
        <v>5</v>
      </c>
    </row>
    <row r="5" spans="1:2" x14ac:dyDescent="0.25">
      <c r="A5" s="3" t="s">
        <v>6</v>
      </c>
      <c r="B5" s="2" t="s">
        <v>7</v>
      </c>
    </row>
    <row r="6" spans="1:2" x14ac:dyDescent="0.25">
      <c r="A6" s="3" t="s">
        <v>8</v>
      </c>
      <c r="B6" s="2" t="s">
        <v>9</v>
      </c>
    </row>
    <row r="7" spans="1:2" x14ac:dyDescent="0.25">
      <c r="A7" s="2" t="s">
        <v>1</v>
      </c>
      <c r="B7" s="2" t="s">
        <v>1</v>
      </c>
    </row>
    <row r="8" spans="1:2" x14ac:dyDescent="0.25">
      <c r="A8" s="4" t="s">
        <v>10</v>
      </c>
      <c r="B8" s="5" t="s">
        <v>1</v>
      </c>
    </row>
    <row r="9" spans="1:2" x14ac:dyDescent="0.25">
      <c r="A9" s="2" t="s">
        <v>1</v>
      </c>
      <c r="B9" s="2" t="s">
        <v>11</v>
      </c>
    </row>
    <row r="10" spans="1:2" x14ac:dyDescent="0.25">
      <c r="A10" s="2" t="s">
        <v>1</v>
      </c>
      <c r="B10" s="2" t="s">
        <v>12</v>
      </c>
    </row>
    <row r="11" spans="1:2" x14ac:dyDescent="0.25">
      <c r="A11" s="2" t="s">
        <v>1</v>
      </c>
      <c r="B11" s="2" t="s">
        <v>13</v>
      </c>
    </row>
    <row r="12" spans="1:2" x14ac:dyDescent="0.25">
      <c r="A12" s="2" t="s">
        <v>1</v>
      </c>
      <c r="B12" s="2" t="s">
        <v>14</v>
      </c>
    </row>
    <row r="13" spans="1:2" x14ac:dyDescent="0.25">
      <c r="A13" s="2" t="s">
        <v>1</v>
      </c>
      <c r="B13" s="2" t="s">
        <v>15</v>
      </c>
    </row>
    <row r="14" spans="1:2" x14ac:dyDescent="0.25">
      <c r="A14" s="2" t="s">
        <v>1</v>
      </c>
      <c r="B14" s="2" t="s">
        <v>16</v>
      </c>
    </row>
    <row r="15" spans="1:2" x14ac:dyDescent="0.25">
      <c r="A15" s="2" t="s">
        <v>1</v>
      </c>
      <c r="B15" s="2" t="s">
        <v>17</v>
      </c>
    </row>
    <row r="16" spans="1:2" x14ac:dyDescent="0.25">
      <c r="A16" s="2" t="s">
        <v>1</v>
      </c>
      <c r="B16" s="2" t="s">
        <v>18</v>
      </c>
    </row>
    <row r="17" spans="1:2" x14ac:dyDescent="0.25">
      <c r="A17" s="2" t="s">
        <v>1</v>
      </c>
      <c r="B17" s="2" t="s">
        <v>1</v>
      </c>
    </row>
    <row r="18" spans="1:2" x14ac:dyDescent="0.25">
      <c r="A18" s="4" t="s">
        <v>19</v>
      </c>
      <c r="B18" s="5" t="s">
        <v>1</v>
      </c>
    </row>
    <row r="19" spans="1:2" x14ac:dyDescent="0.25">
      <c r="A19" s="2" t="s">
        <v>1</v>
      </c>
      <c r="B19" s="2" t="s">
        <v>20</v>
      </c>
    </row>
    <row r="20" spans="1:2" x14ac:dyDescent="0.25">
      <c r="A20" s="2" t="s">
        <v>1</v>
      </c>
      <c r="B20" s="2" t="s">
        <v>21</v>
      </c>
    </row>
    <row r="21" spans="1:2" x14ac:dyDescent="0.25">
      <c r="A21" s="2" t="s">
        <v>1</v>
      </c>
      <c r="B21" s="2" t="s">
        <v>22</v>
      </c>
    </row>
    <row r="22" spans="1:2" x14ac:dyDescent="0.25">
      <c r="A22" s="2" t="s">
        <v>1</v>
      </c>
      <c r="B22" s="2" t="s">
        <v>23</v>
      </c>
    </row>
    <row r="23" spans="1:2" x14ac:dyDescent="0.25">
      <c r="A23" s="2" t="s">
        <v>1</v>
      </c>
      <c r="B23" s="2" t="s">
        <v>24</v>
      </c>
    </row>
    <row r="24" spans="1:2" x14ac:dyDescent="0.25">
      <c r="A24" s="2" t="s">
        <v>1</v>
      </c>
      <c r="B24" s="2" t="s">
        <v>1</v>
      </c>
    </row>
    <row r="25" spans="1:2" x14ac:dyDescent="0.25">
      <c r="A25" s="4" t="s">
        <v>25</v>
      </c>
      <c r="B25" s="5" t="s">
        <v>1</v>
      </c>
    </row>
    <row r="26" spans="1:2" x14ac:dyDescent="0.25">
      <c r="A26" s="2" t="s">
        <v>1</v>
      </c>
      <c r="B26" s="2" t="s">
        <v>26</v>
      </c>
    </row>
    <row r="27" spans="1:2" x14ac:dyDescent="0.25">
      <c r="A27" s="2" t="s">
        <v>1</v>
      </c>
      <c r="B27" s="2" t="s">
        <v>27</v>
      </c>
    </row>
    <row r="28" spans="1:2" x14ac:dyDescent="0.25">
      <c r="A28" s="2" t="s">
        <v>1</v>
      </c>
      <c r="B28" s="2" t="s">
        <v>28</v>
      </c>
    </row>
    <row r="29" spans="1:2" x14ac:dyDescent="0.25">
      <c r="A29" s="2" t="s">
        <v>1</v>
      </c>
      <c r="B29" s="2" t="s">
        <v>29</v>
      </c>
    </row>
    <row r="30" spans="1:2" x14ac:dyDescent="0.25">
      <c r="A30" s="2" t="s">
        <v>1</v>
      </c>
      <c r="B30" s="2" t="s">
        <v>30</v>
      </c>
    </row>
    <row r="31" spans="1:2" x14ac:dyDescent="0.25">
      <c r="A31" s="2" t="s">
        <v>1</v>
      </c>
      <c r="B31" s="2" t="s">
        <v>1</v>
      </c>
    </row>
    <row r="32" spans="1:2" x14ac:dyDescent="0.25">
      <c r="A32" s="4" t="s">
        <v>31</v>
      </c>
      <c r="B32" s="5" t="s">
        <v>1</v>
      </c>
    </row>
    <row r="33" spans="1:2" x14ac:dyDescent="0.25">
      <c r="A33" s="3" t="s">
        <v>32</v>
      </c>
      <c r="B33" s="2" t="s">
        <v>33</v>
      </c>
    </row>
    <row r="34" spans="1:2" x14ac:dyDescent="0.25">
      <c r="A34" s="3" t="s">
        <v>34</v>
      </c>
      <c r="B34" s="2" t="s">
        <v>35</v>
      </c>
    </row>
    <row r="35" spans="1:2" x14ac:dyDescent="0.25">
      <c r="A35" s="3" t="s">
        <v>36</v>
      </c>
      <c r="B35" s="2" t="s">
        <v>37</v>
      </c>
    </row>
    <row r="36" spans="1:2" x14ac:dyDescent="0.25">
      <c r="A36" s="3" t="s">
        <v>38</v>
      </c>
      <c r="B36" s="2" t="s">
        <v>39</v>
      </c>
    </row>
    <row r="37" spans="1:2" x14ac:dyDescent="0.25">
      <c r="A37" s="2" t="s">
        <v>1</v>
      </c>
      <c r="B37" s="2" t="s">
        <v>40</v>
      </c>
    </row>
    <row r="38" spans="1:2" x14ac:dyDescent="0.25">
      <c r="A38" s="2" t="s">
        <v>1</v>
      </c>
      <c r="B38" s="2" t="s">
        <v>1</v>
      </c>
    </row>
    <row r="39" spans="1:2" x14ac:dyDescent="0.25">
      <c r="A39" s="4" t="s">
        <v>41</v>
      </c>
      <c r="B39" s="5" t="s">
        <v>1</v>
      </c>
    </row>
    <row r="40" spans="1:2" x14ac:dyDescent="0.25">
      <c r="A40" s="2" t="s">
        <v>1</v>
      </c>
      <c r="B40" s="2" t="s">
        <v>42</v>
      </c>
    </row>
    <row r="41" spans="1:2" x14ac:dyDescent="0.25">
      <c r="A41" s="2" t="s">
        <v>1</v>
      </c>
      <c r="B41" s="2" t="s">
        <v>43</v>
      </c>
    </row>
    <row r="42" spans="1:2" x14ac:dyDescent="0.25">
      <c r="A42" s="2" t="s">
        <v>1</v>
      </c>
      <c r="B42" s="2" t="s">
        <v>44</v>
      </c>
    </row>
    <row r="43" spans="1:2" x14ac:dyDescent="0.25">
      <c r="A43" s="2" t="s">
        <v>1</v>
      </c>
      <c r="B43" s="2" t="s">
        <v>45</v>
      </c>
    </row>
    <row r="44" spans="1:2" x14ac:dyDescent="0.25">
      <c r="A44" s="2" t="s">
        <v>1</v>
      </c>
      <c r="B44" s="2" t="s">
        <v>46</v>
      </c>
    </row>
    <row r="45" spans="1:2" x14ac:dyDescent="0.25">
      <c r="A45" s="2" t="s">
        <v>1</v>
      </c>
      <c r="B45" s="2" t="s">
        <v>47</v>
      </c>
    </row>
    <row r="46" spans="1:2" x14ac:dyDescent="0.25">
      <c r="A46" s="2" t="s">
        <v>1</v>
      </c>
      <c r="B46" s="2" t="s">
        <v>48</v>
      </c>
    </row>
    <row r="47" spans="1:2" x14ac:dyDescent="0.25">
      <c r="A47" s="2" t="s">
        <v>1</v>
      </c>
      <c r="B47" s="2" t="s">
        <v>1</v>
      </c>
    </row>
    <row r="48" spans="1:2" x14ac:dyDescent="0.25">
      <c r="A48" s="4" t="s">
        <v>49</v>
      </c>
      <c r="B48" s="5" t="s">
        <v>1</v>
      </c>
    </row>
    <row r="49" spans="1:2" x14ac:dyDescent="0.25">
      <c r="A49" s="2" t="s">
        <v>1</v>
      </c>
      <c r="B49" s="2" t="s">
        <v>50</v>
      </c>
    </row>
    <row r="50" spans="1:2" x14ac:dyDescent="0.25">
      <c r="A50" s="2" t="s">
        <v>1</v>
      </c>
      <c r="B50" s="2" t="s">
        <v>51</v>
      </c>
    </row>
    <row r="51" spans="1:2" x14ac:dyDescent="0.25">
      <c r="A51" s="2" t="s">
        <v>1</v>
      </c>
      <c r="B51" s="2" t="s">
        <v>52</v>
      </c>
    </row>
  </sheetData>
  <mergeCells count="1">
    <mergeCell ref="A1:B1"/>
  </mergeCells>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workbookViewId="0">
      <pane xSplit="1" ySplit="5" topLeftCell="B6" activePane="bottomRight" state="frozen"/>
      <selection pane="bottomRight"/>
    </sheetView>
  </sheetViews>
  <sheetFormatPr defaultRowHeight="15" outlineLevelRow="0" outlineLevelCol="0" x14ac:dyDescent="55"/>
  <cols>
    <col min="1" max="1" width="10" customWidth="1"/>
    <col min="2" max="2" width="30" customWidth="1"/>
    <col min="3" max="3" width="46" customWidth="1"/>
    <col min="4" max="4" width="38" customWidth="1"/>
    <col min="5" max="5" width="52" customWidth="1"/>
    <col min="6" max="6" width="14" customWidth="1"/>
    <col min="7" max="7" width="38" customWidth="1"/>
    <col min="8" max="8" width="16" customWidth="1"/>
  </cols>
  <sheetData>
    <row r="1" ht="26" customHeight="1" spans="1:8" x14ac:dyDescent="0.25">
      <c r="A1" s="6" t="s">
        <v>53</v>
      </c>
      <c r="B1" s="6"/>
      <c r="C1" s="6"/>
      <c r="D1" s="6"/>
      <c r="E1" s="6"/>
      <c r="F1" s="6"/>
      <c r="G1" s="6"/>
      <c r="H1" s="6"/>
    </row>
    <row r="2" spans="1:8" x14ac:dyDescent="0.25">
      <c r="A2" s="7" t="s">
        <v>54</v>
      </c>
      <c r="B2" s="7"/>
      <c r="C2" s="7"/>
      <c r="D2" s="7"/>
      <c r="E2" s="7"/>
      <c r="F2" s="7"/>
      <c r="G2" s="7"/>
      <c r="H2" s="7"/>
    </row>
    <row r="3" ht="274" customHeight="1" spans="1:8" x14ac:dyDescent="0.25">
      <c r="A3" s="8" t="s">
        <v>55</v>
      </c>
      <c r="B3" s="8"/>
      <c r="C3" s="8"/>
      <c r="D3" s="8"/>
      <c r="E3" s="8"/>
      <c r="F3" s="8"/>
      <c r="G3" s="8"/>
      <c r="H3" s="8"/>
    </row>
    <row r="4" ht="6" customHeight="1" x14ac:dyDescent="0.25"/>
    <row r="5" ht="22" customHeight="1" spans="1:8" x14ac:dyDescent="0.25">
      <c r="A5" s="9" t="s">
        <v>56</v>
      </c>
      <c r="B5" s="9" t="s">
        <v>57</v>
      </c>
      <c r="C5" s="9" t="s">
        <v>58</v>
      </c>
      <c r="D5" s="9" t="s">
        <v>59</v>
      </c>
      <c r="E5" s="9" t="s">
        <v>60</v>
      </c>
      <c r="F5" s="10" t="s">
        <v>61</v>
      </c>
      <c r="G5" s="10" t="s">
        <v>62</v>
      </c>
      <c r="H5" s="10" t="s">
        <v>63</v>
      </c>
    </row>
    <row r="6" ht="58" customHeight="1" spans="1:8" x14ac:dyDescent="0.25">
      <c r="A6" s="11" t="s">
        <v>64</v>
      </c>
      <c r="B6" s="12" t="s">
        <v>65</v>
      </c>
      <c r="C6" s="12" t="s">
        <v>66</v>
      </c>
      <c r="D6" s="12" t="s">
        <v>67</v>
      </c>
      <c r="E6" s="12" t="s">
        <v>68</v>
      </c>
      <c r="F6" s="13" t="s">
        <v>1</v>
      </c>
      <c r="G6" s="14" t="s">
        <v>1</v>
      </c>
      <c r="H6" s="14" t="s">
        <v>1</v>
      </c>
    </row>
    <row r="7" ht="45" customHeight="1" spans="1:8" x14ac:dyDescent="0.25">
      <c r="A7" s="15" t="s">
        <v>69</v>
      </c>
      <c r="B7" s="16" t="s">
        <v>70</v>
      </c>
      <c r="C7" s="16" t="s">
        <v>71</v>
      </c>
      <c r="D7" s="16" t="s">
        <v>72</v>
      </c>
      <c r="E7" s="16" t="s">
        <v>73</v>
      </c>
      <c r="F7" s="13" t="s">
        <v>1</v>
      </c>
      <c r="G7" s="14" t="s">
        <v>1</v>
      </c>
      <c r="H7" s="14" t="s">
        <v>1</v>
      </c>
    </row>
    <row r="8" ht="110" customHeight="1" spans="1:8" x14ac:dyDescent="0.25">
      <c r="A8" s="11" t="s">
        <v>74</v>
      </c>
      <c r="B8" s="12" t="s">
        <v>75</v>
      </c>
      <c r="C8" s="12" t="s">
        <v>76</v>
      </c>
      <c r="D8" s="12" t="s">
        <v>77</v>
      </c>
      <c r="E8" s="12" t="s">
        <v>78</v>
      </c>
      <c r="F8" s="13" t="s">
        <v>1</v>
      </c>
      <c r="G8" s="14" t="s">
        <v>1</v>
      </c>
      <c r="H8" s="14" t="s">
        <v>1</v>
      </c>
    </row>
    <row r="9" ht="84" customHeight="1" spans="1:8" x14ac:dyDescent="0.25">
      <c r="A9" s="15" t="s">
        <v>79</v>
      </c>
      <c r="B9" s="16" t="s">
        <v>80</v>
      </c>
      <c r="C9" s="16" t="s">
        <v>81</v>
      </c>
      <c r="D9" s="16" t="s">
        <v>82</v>
      </c>
      <c r="E9" s="16" t="s">
        <v>83</v>
      </c>
      <c r="F9" s="13" t="s">
        <v>1</v>
      </c>
      <c r="G9" s="14" t="s">
        <v>1</v>
      </c>
      <c r="H9" s="14" t="s">
        <v>1</v>
      </c>
    </row>
    <row r="10" ht="58" customHeight="1" spans="1:8" x14ac:dyDescent="0.25">
      <c r="A10" s="11" t="s">
        <v>84</v>
      </c>
      <c r="B10" s="12" t="s">
        <v>85</v>
      </c>
      <c r="C10" s="12" t="s">
        <v>86</v>
      </c>
      <c r="D10" s="12" t="s">
        <v>87</v>
      </c>
      <c r="E10" s="12" t="s">
        <v>88</v>
      </c>
      <c r="F10" s="13" t="s">
        <v>1</v>
      </c>
      <c r="G10" s="14" t="s">
        <v>1</v>
      </c>
      <c r="H10" s="14" t="s">
        <v>1</v>
      </c>
    </row>
    <row r="12" spans="5:7" x14ac:dyDescent="0.25">
      <c r="E12" s="17" t="s">
        <v>89</v>
      </c>
      <c r="F12" s="18">
        <f>COUNTIF(F6:F10,"OK")</f>
      </c>
      <c r="G12" s="19" t="s">
        <v>90</v>
      </c>
    </row>
    <row r="13" spans="6:7" x14ac:dyDescent="0.25">
      <c r="F13" s="20">
        <f>COUNTIF(F6:F10,"NOK")</f>
      </c>
      <c r="G13" s="19" t="s">
        <v>91</v>
      </c>
    </row>
    <row r="14" spans="6:7" x14ac:dyDescent="0.25">
      <c r="F14" s="21">
        <f>COUNTIF(F6:F10,"blockiert")</f>
      </c>
      <c r="G14" s="19" t="s">
        <v>92</v>
      </c>
    </row>
    <row r="16" spans="1:1" x14ac:dyDescent="0.25">
      <c r="A16" s="22" t="s">
        <v>93</v>
      </c>
    </row>
    <row r="17" spans="1:8" x14ac:dyDescent="0.25">
      <c r="A17" s="23"/>
      <c r="B17" s="23"/>
      <c r="C17" s="23"/>
      <c r="D17" s="23"/>
      <c r="E17" s="23"/>
      <c r="F17" s="23"/>
      <c r="G17" s="23"/>
      <c r="H17" s="23"/>
    </row>
    <row r="18" spans="1:8" x14ac:dyDescent="0.25">
      <c r="A18" s="23"/>
      <c r="B18" s="23"/>
      <c r="C18" s="23"/>
      <c r="D18" s="23"/>
      <c r="E18" s="23"/>
      <c r="F18" s="23"/>
      <c r="G18" s="23"/>
      <c r="H18" s="23"/>
    </row>
    <row r="19" spans="1:8" x14ac:dyDescent="0.25">
      <c r="A19" s="23"/>
      <c r="B19" s="23"/>
      <c r="C19" s="23"/>
      <c r="D19" s="23"/>
      <c r="E19" s="23"/>
      <c r="F19" s="23"/>
      <c r="G19" s="23"/>
      <c r="H19" s="23"/>
    </row>
    <row r="20" spans="1:8" x14ac:dyDescent="0.25">
      <c r="A20" s="23"/>
      <c r="B20" s="23"/>
      <c r="C20" s="23"/>
      <c r="D20" s="23"/>
      <c r="E20" s="23"/>
      <c r="F20" s="23"/>
      <c r="G20" s="23"/>
      <c r="H20" s="23"/>
    </row>
    <row r="22" spans="1:1" x14ac:dyDescent="0.25">
      <c r="A22" s="22" t="s">
        <v>94</v>
      </c>
    </row>
    <row r="23" spans="1:8" x14ac:dyDescent="0.25">
      <c r="A23" s="23"/>
      <c r="B23" s="23"/>
      <c r="C23" s="23"/>
      <c r="D23" s="23"/>
      <c r="E23" s="23"/>
      <c r="F23" s="23"/>
      <c r="G23" s="23"/>
      <c r="H23" s="23"/>
    </row>
    <row r="24" spans="1:8" x14ac:dyDescent="0.25">
      <c r="A24" s="23"/>
      <c r="B24" s="23"/>
      <c r="C24" s="23"/>
      <c r="D24" s="23"/>
      <c r="E24" s="23"/>
      <c r="F24" s="23"/>
      <c r="G24" s="23"/>
      <c r="H24" s="23"/>
    </row>
    <row r="25" spans="1:8" x14ac:dyDescent="0.25">
      <c r="A25" s="23"/>
      <c r="B25" s="23"/>
      <c r="C25" s="23"/>
      <c r="D25" s="23"/>
      <c r="E25" s="23"/>
      <c r="F25" s="23"/>
      <c r="G25" s="23"/>
      <c r="H25" s="23"/>
    </row>
  </sheetData>
  <autoFilter ref="A5:H10"/>
  <mergeCells count="5">
    <mergeCell ref="A1:H1"/>
    <mergeCell ref="A2:H2"/>
    <mergeCell ref="A3:H3"/>
    <mergeCell ref="A17:H20"/>
    <mergeCell ref="A23:H25"/>
  </mergeCells>
  <conditionalFormatting sqref="F6:F10">
    <cfRule type="cellIs" dxfId="0" priority="1" operator="equal">
      <formula>"OK"</formula>
    </cfRule>
    <cfRule type="cellIs" dxfId="1" priority="2" operator="equal">
      <formula>"NOK"</formula>
    </cfRule>
    <cfRule type="cellIs" dxfId="2" priority="3" operator="equal">
      <formula>"blockiert"</formula>
    </cfRule>
  </conditionalFormatting>
  <dataValidations count="2">
    <dataValidation type="list" allowBlank="1" showErrorMessage="1" errorTitle="Nur diese vier Werte" error="Bitte OK, NOK, blockiert oder offen waehlen." sqref="F10">
      <formula1>"OK,NOK,blockiert,offen"</formula1>
    </dataValidation>
    <dataValidation type="list" allowBlank="1" showErrorMessage="1" errorTitle="Nur diese vier Werte" error="Bitte OK, NOK, blockiert oder offen waehlen." sqref="F6:F10">
      <formula1>"OK,NOK,blockiert,offen"</formula1>
    </dataValidation>
  </dataValidations>
  <pageMargins left="0.3" right="0.3" top="0.4" bottom="0.4" header="0.2" footer="0.2"/>
  <pageSetup paperSize="9" orientation="landscape" fitToWidth="1" fitToHeight="0"/>
  <headerFooter>
    <oddFooter>&amp;LDamicon Testfaelle - Rolle: Erzeuger (Nachbarbetrieb)&amp;RSeite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H40"/>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14" customWidth="1"/>
    <col min="3" max="3" width="18" customWidth="1"/>
    <col min="4" max="4" width="14" customWidth="1"/>
    <col min="5" max="5" width="50" customWidth="1"/>
    <col min="6" max="6" width="44" customWidth="1"/>
    <col min="7" max="7" width="20" customWidth="1"/>
    <col min="8" max="8" width="16" customWidth="1"/>
  </cols>
  <sheetData>
    <row r="1" ht="26" customHeight="1" spans="1:8" x14ac:dyDescent="0.25">
      <c r="A1" s="24" t="s">
        <v>95</v>
      </c>
      <c r="B1" s="24"/>
      <c r="C1" s="24"/>
      <c r="D1" s="24"/>
      <c r="E1" s="24"/>
      <c r="F1" s="24"/>
      <c r="G1" s="24"/>
      <c r="H1" s="24"/>
    </row>
    <row r="3" ht="22" customHeight="1" spans="1:8" x14ac:dyDescent="0.25">
      <c r="A3" s="9" t="s">
        <v>56</v>
      </c>
      <c r="B3" s="9" t="s">
        <v>96</v>
      </c>
      <c r="C3" s="9" t="s">
        <v>97</v>
      </c>
      <c r="D3" s="9" t="s">
        <v>98</v>
      </c>
      <c r="E3" s="9" t="s">
        <v>99</v>
      </c>
      <c r="F3" s="9" t="s">
        <v>100</v>
      </c>
      <c r="G3" s="9" t="s">
        <v>101</v>
      </c>
      <c r="H3" s="9" t="s">
        <v>102</v>
      </c>
    </row>
    <row r="4" ht="46" customHeight="1" spans="1:8" x14ac:dyDescent="0.25">
      <c r="A4" s="25" t="s">
        <v>103</v>
      </c>
      <c r="B4" s="25" t="s">
        <v>104</v>
      </c>
      <c r="C4" s="25" t="s">
        <v>105</v>
      </c>
      <c r="D4" s="25" t="s">
        <v>32</v>
      </c>
      <c r="E4" s="25" t="s">
        <v>106</v>
      </c>
      <c r="F4" s="25" t="s">
        <v>107</v>
      </c>
      <c r="G4" s="25" t="s">
        <v>108</v>
      </c>
      <c r="H4" s="25" t="s">
        <v>109</v>
      </c>
    </row>
    <row r="5" spans="1:8" x14ac:dyDescent="0.25">
      <c r="A5" s="26"/>
      <c r="B5" s="26"/>
      <c r="C5" s="26"/>
      <c r="D5" s="26"/>
      <c r="E5" s="26"/>
      <c r="F5" s="26"/>
      <c r="G5" s="26"/>
      <c r="H5" s="26"/>
    </row>
    <row r="6" spans="1:8" x14ac:dyDescent="0.25">
      <c r="A6" s="26"/>
      <c r="B6" s="26"/>
      <c r="C6" s="26"/>
      <c r="D6" s="26"/>
      <c r="E6" s="26"/>
      <c r="F6" s="26"/>
      <c r="G6" s="26"/>
      <c r="H6" s="26"/>
    </row>
    <row r="7" spans="1:8" x14ac:dyDescent="0.25">
      <c r="A7" s="26"/>
      <c r="B7" s="26"/>
      <c r="C7" s="26"/>
      <c r="D7" s="26"/>
      <c r="E7" s="26"/>
      <c r="F7" s="26"/>
      <c r="G7" s="26"/>
      <c r="H7" s="26"/>
    </row>
    <row r="8" spans="1:8" x14ac:dyDescent="0.25">
      <c r="A8" s="26"/>
      <c r="B8" s="26"/>
      <c r="C8" s="26"/>
      <c r="D8" s="26"/>
      <c r="E8" s="26"/>
      <c r="F8" s="26"/>
      <c r="G8" s="26"/>
      <c r="H8" s="26"/>
    </row>
    <row r="9" spans="1:8" x14ac:dyDescent="0.25">
      <c r="A9" s="26"/>
      <c r="B9" s="26"/>
      <c r="C9" s="26"/>
      <c r="D9" s="26"/>
      <c r="E9" s="26"/>
      <c r="F9" s="26"/>
      <c r="G9" s="26"/>
      <c r="H9" s="26"/>
    </row>
    <row r="10" spans="1:8" x14ac:dyDescent="0.25">
      <c r="A10" s="26"/>
      <c r="B10" s="26"/>
      <c r="C10" s="26"/>
      <c r="D10" s="26"/>
      <c r="E10" s="26"/>
      <c r="F10" s="26"/>
      <c r="G10" s="26"/>
      <c r="H10" s="26"/>
    </row>
    <row r="11" spans="1:8" x14ac:dyDescent="0.25">
      <c r="A11" s="26"/>
      <c r="B11" s="26"/>
      <c r="C11" s="26"/>
      <c r="D11" s="26"/>
      <c r="E11" s="26"/>
      <c r="F11" s="26"/>
      <c r="G11" s="26"/>
      <c r="H11" s="26"/>
    </row>
    <row r="12" spans="1:8" x14ac:dyDescent="0.25">
      <c r="A12" s="26"/>
      <c r="B12" s="26"/>
      <c r="C12" s="26"/>
      <c r="D12" s="26"/>
      <c r="E12" s="26"/>
      <c r="F12" s="26"/>
      <c r="G12" s="26"/>
      <c r="H12" s="26"/>
    </row>
    <row r="13" spans="1:8" x14ac:dyDescent="0.25">
      <c r="A13" s="26"/>
      <c r="B13" s="26"/>
      <c r="C13" s="26"/>
      <c r="D13" s="26"/>
      <c r="E13" s="26"/>
      <c r="F13" s="26"/>
      <c r="G13" s="26"/>
      <c r="H13" s="26"/>
    </row>
    <row r="14" spans="1:8" x14ac:dyDescent="0.25">
      <c r="A14" s="26"/>
      <c r="B14" s="26"/>
      <c r="C14" s="26"/>
      <c r="D14" s="26"/>
      <c r="E14" s="26"/>
      <c r="F14" s="26"/>
      <c r="G14" s="26"/>
      <c r="H14" s="26"/>
    </row>
    <row r="15" spans="1:8" x14ac:dyDescent="0.25">
      <c r="A15" s="26"/>
      <c r="B15" s="26"/>
      <c r="C15" s="26"/>
      <c r="D15" s="26"/>
      <c r="E15" s="26"/>
      <c r="F15" s="26"/>
      <c r="G15" s="26"/>
      <c r="H15" s="26"/>
    </row>
    <row r="16" spans="1:8" x14ac:dyDescent="0.25">
      <c r="A16" s="26"/>
      <c r="B16" s="26"/>
      <c r="C16" s="26"/>
      <c r="D16" s="26"/>
      <c r="E16" s="26"/>
      <c r="F16" s="26"/>
      <c r="G16" s="26"/>
      <c r="H16" s="26"/>
    </row>
    <row r="17" spans="1:8" x14ac:dyDescent="0.25">
      <c r="A17" s="26"/>
      <c r="B17" s="26"/>
      <c r="C17" s="26"/>
      <c r="D17" s="26"/>
      <c r="E17" s="26"/>
      <c r="F17" s="26"/>
      <c r="G17" s="26"/>
      <c r="H17" s="26"/>
    </row>
    <row r="18" spans="1:8" x14ac:dyDescent="0.25">
      <c r="A18" s="26"/>
      <c r="B18" s="26"/>
      <c r="C18" s="26"/>
      <c r="D18" s="26"/>
      <c r="E18" s="26"/>
      <c r="F18" s="26"/>
      <c r="G18" s="26"/>
      <c r="H18" s="26"/>
    </row>
    <row r="19" spans="1:8" x14ac:dyDescent="0.25">
      <c r="A19" s="26"/>
      <c r="B19" s="26"/>
      <c r="C19" s="26"/>
      <c r="D19" s="26"/>
      <c r="E19" s="26"/>
      <c r="F19" s="26"/>
      <c r="G19" s="26"/>
      <c r="H19" s="26"/>
    </row>
    <row r="20" spans="1:8" x14ac:dyDescent="0.25">
      <c r="A20" s="26"/>
      <c r="B20" s="26"/>
      <c r="C20" s="26"/>
      <c r="D20" s="26"/>
      <c r="E20" s="26"/>
      <c r="F20" s="26"/>
      <c r="G20" s="26"/>
      <c r="H20" s="26"/>
    </row>
    <row r="21" spans="1:8" x14ac:dyDescent="0.25">
      <c r="A21" s="26"/>
      <c r="B21" s="26"/>
      <c r="C21" s="26"/>
      <c r="D21" s="26"/>
      <c r="E21" s="26"/>
      <c r="F21" s="26"/>
      <c r="G21" s="26"/>
      <c r="H21" s="26"/>
    </row>
    <row r="22" spans="1:8" x14ac:dyDescent="0.25">
      <c r="A22" s="26"/>
      <c r="B22" s="26"/>
      <c r="C22" s="26"/>
      <c r="D22" s="26"/>
      <c r="E22" s="26"/>
      <c r="F22" s="26"/>
      <c r="G22" s="26"/>
      <c r="H22" s="26"/>
    </row>
    <row r="23" spans="1:8" x14ac:dyDescent="0.25">
      <c r="A23" s="26"/>
      <c r="B23" s="26"/>
      <c r="C23" s="26"/>
      <c r="D23" s="26"/>
      <c r="E23" s="26"/>
      <c r="F23" s="26"/>
      <c r="G23" s="26"/>
      <c r="H23" s="26"/>
    </row>
    <row r="24" spans="1:8" x14ac:dyDescent="0.25">
      <c r="A24" s="26"/>
      <c r="B24" s="26"/>
      <c r="C24" s="26"/>
      <c r="D24" s="26"/>
      <c r="E24" s="26"/>
      <c r="F24" s="26"/>
      <c r="G24" s="26"/>
      <c r="H24" s="26"/>
    </row>
    <row r="25" spans="1:8" x14ac:dyDescent="0.25">
      <c r="A25" s="26"/>
      <c r="B25" s="26"/>
      <c r="C25" s="26"/>
      <c r="D25" s="26"/>
      <c r="E25" s="26"/>
      <c r="F25" s="26"/>
      <c r="G25" s="26"/>
      <c r="H25" s="26"/>
    </row>
    <row r="26" spans="1:8" x14ac:dyDescent="0.25">
      <c r="A26" s="26"/>
      <c r="B26" s="26"/>
      <c r="C26" s="26"/>
      <c r="D26" s="26"/>
      <c r="E26" s="26"/>
      <c r="F26" s="26"/>
      <c r="G26" s="26"/>
      <c r="H26" s="26"/>
    </row>
    <row r="27" spans="1:8" x14ac:dyDescent="0.25">
      <c r="A27" s="26"/>
      <c r="B27" s="26"/>
      <c r="C27" s="26"/>
      <c r="D27" s="26"/>
      <c r="E27" s="26"/>
      <c r="F27" s="26"/>
      <c r="G27" s="26"/>
      <c r="H27" s="26"/>
    </row>
    <row r="28" spans="1:8" x14ac:dyDescent="0.25">
      <c r="A28" s="26"/>
      <c r="B28" s="26"/>
      <c r="C28" s="26"/>
      <c r="D28" s="26"/>
      <c r="E28" s="26"/>
      <c r="F28" s="26"/>
      <c r="G28" s="26"/>
      <c r="H28" s="26"/>
    </row>
    <row r="29" spans="1:8" x14ac:dyDescent="0.25">
      <c r="A29" s="26"/>
      <c r="B29" s="26"/>
      <c r="C29" s="26"/>
      <c r="D29" s="26"/>
      <c r="E29" s="26"/>
      <c r="F29" s="26"/>
      <c r="G29" s="26"/>
      <c r="H29" s="26"/>
    </row>
    <row r="30" spans="1:8" x14ac:dyDescent="0.25">
      <c r="A30" s="26"/>
      <c r="B30" s="26"/>
      <c r="C30" s="26"/>
      <c r="D30" s="26"/>
      <c r="E30" s="26"/>
      <c r="F30" s="26"/>
      <c r="G30" s="26"/>
      <c r="H30" s="26"/>
    </row>
    <row r="31" spans="1:8" x14ac:dyDescent="0.25">
      <c r="A31" s="26"/>
      <c r="B31" s="26"/>
      <c r="C31" s="26"/>
      <c r="D31" s="26"/>
      <c r="E31" s="26"/>
      <c r="F31" s="26"/>
      <c r="G31" s="26"/>
      <c r="H31" s="26"/>
    </row>
    <row r="32" spans="1:8" x14ac:dyDescent="0.25">
      <c r="A32" s="26"/>
      <c r="B32" s="26"/>
      <c r="C32" s="26"/>
      <c r="D32" s="26"/>
      <c r="E32" s="26"/>
      <c r="F32" s="26"/>
      <c r="G32" s="26"/>
      <c r="H32" s="26"/>
    </row>
    <row r="33" spans="1:8" x14ac:dyDescent="0.25">
      <c r="A33" s="26"/>
      <c r="B33" s="26"/>
      <c r="C33" s="26"/>
      <c r="D33" s="26"/>
      <c r="E33" s="26"/>
      <c r="F33" s="26"/>
      <c r="G33" s="26"/>
      <c r="H33" s="26"/>
    </row>
    <row r="34" spans="1:8" x14ac:dyDescent="0.25">
      <c r="A34" s="26"/>
      <c r="B34" s="26"/>
      <c r="C34" s="26"/>
      <c r="D34" s="26"/>
      <c r="E34" s="26"/>
      <c r="F34" s="26"/>
      <c r="G34" s="26"/>
      <c r="H34" s="26"/>
    </row>
    <row r="35" spans="1:8" x14ac:dyDescent="0.25">
      <c r="A35" s="26"/>
      <c r="B35" s="26"/>
      <c r="C35" s="26"/>
      <c r="D35" s="26"/>
      <c r="E35" s="26"/>
      <c r="F35" s="26"/>
      <c r="G35" s="26"/>
      <c r="H35" s="26"/>
    </row>
    <row r="36" spans="1:8" x14ac:dyDescent="0.25">
      <c r="A36" s="26"/>
      <c r="B36" s="26"/>
      <c r="C36" s="26"/>
      <c r="D36" s="26"/>
      <c r="E36" s="26"/>
      <c r="F36" s="26"/>
      <c r="G36" s="26"/>
      <c r="H36" s="26"/>
    </row>
    <row r="37" spans="1:8" x14ac:dyDescent="0.25">
      <c r="A37" s="26"/>
      <c r="B37" s="26"/>
      <c r="C37" s="26"/>
      <c r="D37" s="26"/>
      <c r="E37" s="26"/>
      <c r="F37" s="26"/>
      <c r="G37" s="26"/>
      <c r="H37" s="26"/>
    </row>
    <row r="38" spans="1:8" x14ac:dyDescent="0.25">
      <c r="A38" s="26"/>
      <c r="B38" s="26"/>
      <c r="C38" s="26"/>
      <c r="D38" s="26"/>
      <c r="E38" s="26"/>
      <c r="F38" s="26"/>
      <c r="G38" s="26"/>
      <c r="H38" s="26"/>
    </row>
    <row r="39" spans="1:8" x14ac:dyDescent="0.25">
      <c r="A39" s="26"/>
      <c r="B39" s="26"/>
      <c r="C39" s="26"/>
      <c r="D39" s="26"/>
      <c r="E39" s="26"/>
      <c r="F39" s="26"/>
      <c r="G39" s="26"/>
      <c r="H39" s="26"/>
    </row>
    <row r="40" spans="1:8" x14ac:dyDescent="0.25">
      <c r="A40" s="26"/>
      <c r="B40" s="26"/>
      <c r="C40" s="26"/>
      <c r="D40" s="26"/>
      <c r="E40" s="26"/>
      <c r="F40" s="26"/>
      <c r="G40" s="26"/>
      <c r="H40" s="26"/>
    </row>
  </sheetData>
  <autoFilter ref="A3:H40"/>
  <mergeCells count="1">
    <mergeCell ref="A1:H1"/>
  </mergeCells>
  <dataValidations count="4">
    <dataValidation type="list" allowBlank="1" showErrorMessage="1" sqref="D10:D40">
      <formula1>"S1,S2,S3,S4"</formula1>
    </dataValidation>
    <dataValidation type="list" allowBlank="1" showErrorMessage="1" sqref="D5:D40">
      <formula1>"S1,S2,S3,S4"</formula1>
    </dataValidation>
    <dataValidation type="list" allowBlank="1" showErrorMessage="1" sqref="H10:H40">
      <formula1>"offen,in Arbeit,behoben,kein Fehler"</formula1>
    </dataValidation>
    <dataValidation type="list" allowBlank="1" showErrorMessage="1" sqref="H5:H40">
      <formula1>"offen,in Arbeit,behoben,kein Fehler"</formula1>
    </dataValidation>
  </dataValidation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Anleitung</vt:lpstr>
      <vt:lpstr>Erzeuger</vt:lpstr>
      <vt:lpstr>Funde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Damicon</dc:creator>
  <dc:title/>
  <dc:subject/>
  <dc:description/>
  <cp:keywords/>
  <cp:category/>
  <cp:lastModifiedBy>Unknown</cp:lastModifiedBy>
  <dcterms:created xsi:type="dcterms:W3CDTF">2026-09-20T08:12:05Z</dcterms:created>
  <dcterms:modified xsi:type="dcterms:W3CDTF">2026-09-20T08:12:05Z</dcterms:modified>
</cp:coreProperties>
</file>